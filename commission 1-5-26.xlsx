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d5\AC\Temp\"/>
    </mc:Choice>
  </mc:AlternateContent>
  <xr:revisionPtr revIDLastSave="292" documentId="8_{2FA8F78B-C32B-3A47-A40E-A1928CF1205C}" xr6:coauthVersionLast="47" xr6:coauthVersionMax="47" xr10:uidLastSave="{E899F197-9EFD-B342-BB30-FB6B60255564}"/>
  <bookViews>
    <workbookView xWindow="-60" yWindow="-60" windowWidth="15480" windowHeight="11640" xr2:uid="{64B3F4FA-3874-4795-A500-1C02E7827B3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10" i="1"/>
  <c r="K14" i="1"/>
  <c r="K23" i="1"/>
  <c r="K24" i="1"/>
  <c r="K27" i="1"/>
  <c r="K32" i="1"/>
  <c r="K35" i="1"/>
  <c r="K40" i="1"/>
  <c r="K43" i="1"/>
  <c r="K44" i="1"/>
  <c r="K49" i="1"/>
  <c r="K54" i="1"/>
  <c r="L54" i="1"/>
  <c r="K76" i="1"/>
  <c r="K80" i="1"/>
  <c r="K83" i="1"/>
  <c r="K86" i="1"/>
  <c r="K100" i="1"/>
  <c r="K103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K108" i="1"/>
  <c r="L108" i="1"/>
  <c r="L65" i="1"/>
  <c r="L66" i="1"/>
  <c r="L67" i="1"/>
  <c r="L69" i="1"/>
  <c r="L70" i="1"/>
  <c r="L71" i="1"/>
  <c r="L72" i="1"/>
  <c r="L73" i="1"/>
  <c r="L74" i="1"/>
  <c r="L75" i="1"/>
  <c r="L76" i="1"/>
  <c r="L77" i="1"/>
  <c r="L78" i="1"/>
  <c r="L79" i="1"/>
  <c r="L80" i="1"/>
  <c r="L83" i="1"/>
  <c r="L84" i="1"/>
  <c r="L85" i="1"/>
  <c r="L86" i="1"/>
  <c r="L87" i="1"/>
  <c r="L2" i="1"/>
  <c r="L3" i="1"/>
  <c r="L7" i="1"/>
  <c r="L8" i="1"/>
  <c r="L9" i="1"/>
  <c r="L10" i="1"/>
  <c r="L11" i="1"/>
  <c r="L14" i="1"/>
  <c r="L15" i="1"/>
  <c r="L16" i="1"/>
  <c r="L17" i="1"/>
  <c r="L19" i="1"/>
  <c r="L20" i="1"/>
  <c r="L21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40" i="1"/>
  <c r="L41" i="1"/>
  <c r="L43" i="1"/>
  <c r="L44" i="1"/>
  <c r="L45" i="1"/>
  <c r="L46" i="1"/>
  <c r="L47" i="1"/>
  <c r="L48" i="1"/>
  <c r="L49" i="1"/>
  <c r="L50" i="1"/>
  <c r="L51" i="1"/>
  <c r="L52" i="1"/>
  <c r="L53" i="1"/>
  <c r="L55" i="1"/>
  <c r="L57" i="1"/>
  <c r="L58" i="1"/>
  <c r="L59" i="1"/>
  <c r="L60" i="1"/>
  <c r="L61" i="1"/>
  <c r="L62" i="1"/>
  <c r="L63" i="1"/>
  <c r="N1" i="1"/>
</calcChain>
</file>

<file path=xl/sharedStrings.xml><?xml version="1.0" encoding="utf-8"?>
<sst xmlns="http://schemas.openxmlformats.org/spreadsheetml/2006/main" count="345" uniqueCount="152">
  <si>
    <t>ORDER_NUMBER</t>
  </si>
  <si>
    <t>ORDER_DATE</t>
  </si>
  <si>
    <t>SHIP_METHOD</t>
  </si>
  <si>
    <t>SUBTOTAL</t>
  </si>
  <si>
    <t>SHIP_COST</t>
  </si>
  <si>
    <t>TAX</t>
  </si>
  <si>
    <t>TOTAL</t>
  </si>
  <si>
    <t>Next Day Priority</t>
  </si>
  <si>
    <t>Ticket No</t>
  </si>
  <si>
    <t>Customer total</t>
  </si>
  <si>
    <t>10% of profit</t>
  </si>
  <si>
    <t>24-1285 &amp; 24-1275</t>
  </si>
  <si>
    <t>24-1275</t>
  </si>
  <si>
    <t>24-1335</t>
  </si>
  <si>
    <t>Description</t>
  </si>
  <si>
    <t>1524-25 dac commissioner - sig</t>
  </si>
  <si>
    <t>HAND MADE EXPRESSLY FOR YOU</t>
  </si>
  <si>
    <t>ZIPP CONSTRUCTION INC.</t>
  </si>
  <si>
    <t>SILVER STUDIO</t>
  </si>
  <si>
    <t>stamp - picked up - paid.pdf</t>
  </si>
  <si>
    <t>Community Action Agency #9 WND</t>
  </si>
  <si>
    <t>0637-25 lsp - meghan robinson</t>
  </si>
  <si>
    <t>0494-25 the palms realty - bad</t>
  </si>
  <si>
    <t>ELSA GOMEZ</t>
  </si>
  <si>
    <t>JO REED</t>
  </si>
  <si>
    <t>0283-25 daswcd - name tags cat</t>
  </si>
  <si>
    <t>0032-25 border area mhs - sign</t>
  </si>
  <si>
    <t>0030-25 reed robert burn - con</t>
  </si>
  <si>
    <t>1845-24 zipp construction bc c</t>
  </si>
  <si>
    <t>1656-24 alianza of nm - addres</t>
  </si>
  <si>
    <t>BURRELL COLLEGE</t>
  </si>
  <si>
    <t>1579-24 little steps pediatric</t>
  </si>
  <si>
    <t>1566-24 dac manager - c scott</t>
  </si>
  <si>
    <t>1441-24 dac clerks office - si</t>
  </si>
  <si>
    <t>Silver Studio</t>
  </si>
  <si>
    <t>viola osorio - self inking sta</t>
  </si>
  <si>
    <t>1353-24 Crystal Clear - BC Magnets - Shipment 1 - Set 1</t>
  </si>
  <si>
    <t>4 Business Days</t>
  </si>
  <si>
    <t>1333-24 DASWCD Neighborwoods - Watering Tips - Shipment 1 - Set 1</t>
  </si>
  <si>
    <t>1334-24 DASWCD Car Magnets - Shipment 1 - Set 1</t>
  </si>
  <si>
    <t>1438-24 Raymond Services - Car Magnet - Shipment 1 - Set 1</t>
  </si>
  <si>
    <t>1498-24 Desert Peaks Consulting - Shipment 1 - Set 1</t>
  </si>
  <si>
    <t>ABC PRINTING Display - Shipment 1 - Set 1</t>
  </si>
  <si>
    <t>DASWCD - Watering Tips Magnets - Shipment 1 - Set 1</t>
  </si>
  <si>
    <t>0044-25 DASWCD - Yard Sign Event With Arrow - Shipment 1 - Set 1</t>
  </si>
  <si>
    <t>Next Business Day</t>
  </si>
  <si>
    <t>0044-25 DASWCD - Yard Sign Tree Event no Arrow - Shipment 1 - Set 1</t>
  </si>
  <si>
    <t>0044-25 DASWCD Yard Sign Free Tree Giveaway - Shipment 1 - Set 1</t>
  </si>
  <si>
    <t>0202-25 Liberal Roof Maintenance - Car Magnet - Shipment 1 - Set 1</t>
  </si>
  <si>
    <t>0717-25 Jennifer Weathersbee - BC - Shipment 1 - Set 1</t>
  </si>
  <si>
    <t>0797-25 Aaron Freeland - Banner - Shipment 1 - Set 1</t>
  </si>
  <si>
    <t>0607-25 Penny Satiago - Real Estate Sign - Shipment 1 - Set 1</t>
  </si>
  <si>
    <t>0862-25 DASWCD Neighborwoods - Adopt a Tree - Shipment 1 - Set 1</t>
  </si>
  <si>
    <t>1112-25 Greg Estrada - Shipment 1 - Set 1</t>
  </si>
  <si>
    <t>1264-25 LCHS Red &amp; Blue - Yard Sign 21 Mendez - Shipment 1 - Set 1</t>
  </si>
  <si>
    <t>1315-25 Fresh Chile Co - Shipment 1 - Set 1</t>
  </si>
  <si>
    <t>1381-25 DASWCD - Watering Tips Magnets - Shipment 1 - Set 1</t>
  </si>
  <si>
    <t>1593-25 Jennifer Weathersbee - BC - Shipment 1 - Set 1</t>
  </si>
  <si>
    <t>Comet Cleaners - Shipment 1 - Set 1</t>
  </si>
  <si>
    <t xml:space="preserve">Shop </t>
  </si>
  <si>
    <t>Signs365</t>
  </si>
  <si>
    <t>Navitor</t>
  </si>
  <si>
    <t>4over</t>
  </si>
  <si>
    <t>24-1353</t>
  </si>
  <si>
    <t>24-1334</t>
  </si>
  <si>
    <t>24-1333</t>
  </si>
  <si>
    <t>24-1184</t>
  </si>
  <si>
    <t>24-1404</t>
  </si>
  <si>
    <t>24-1390</t>
  </si>
  <si>
    <t>24-1433</t>
  </si>
  <si>
    <t>24-1438</t>
  </si>
  <si>
    <t>24-1441</t>
  </si>
  <si>
    <t>24-1461</t>
  </si>
  <si>
    <t>24-1475</t>
  </si>
  <si>
    <t>24-1488</t>
  </si>
  <si>
    <t>24-1498</t>
  </si>
  <si>
    <t>24-1566</t>
  </si>
  <si>
    <t>24-1579</t>
  </si>
  <si>
    <t>24-1595</t>
  </si>
  <si>
    <t>Personal</t>
  </si>
  <si>
    <t>24-1656</t>
  </si>
  <si>
    <t>24-1497</t>
  </si>
  <si>
    <t>24-1738</t>
  </si>
  <si>
    <t>24-1797</t>
  </si>
  <si>
    <t>24-1828</t>
  </si>
  <si>
    <t>25-0025</t>
  </si>
  <si>
    <t>25-0058</t>
  </si>
  <si>
    <t>25-0041</t>
  </si>
  <si>
    <t>25-0030</t>
  </si>
  <si>
    <t>25-0032</t>
  </si>
  <si>
    <t>25-0102</t>
  </si>
  <si>
    <t>25-0044</t>
  </si>
  <si>
    <t>25-0121</t>
  </si>
  <si>
    <t>25-0138 &amp; 25-0126</t>
  </si>
  <si>
    <t>25-0236</t>
  </si>
  <si>
    <t>25-0283</t>
  </si>
  <si>
    <t>25-0324</t>
  </si>
  <si>
    <t>25-0392</t>
  </si>
  <si>
    <t>25-0473</t>
  </si>
  <si>
    <t>25-0502</t>
  </si>
  <si>
    <t>25-0531</t>
  </si>
  <si>
    <t>25-0494</t>
  </si>
  <si>
    <t>25-0637</t>
  </si>
  <si>
    <t>25-0717</t>
  </si>
  <si>
    <t>25-0603 &amp; 25-0670</t>
  </si>
  <si>
    <t>25-0797</t>
  </si>
  <si>
    <t>25-0607</t>
  </si>
  <si>
    <t>25-0862</t>
  </si>
  <si>
    <t>25-0879</t>
  </si>
  <si>
    <t>25-0920 &amp; 25-0929</t>
  </si>
  <si>
    <t>25-0987</t>
  </si>
  <si>
    <t>25-1031</t>
  </si>
  <si>
    <t>25-1104</t>
  </si>
  <si>
    <t>25-1048</t>
  </si>
  <si>
    <t>25-1034</t>
  </si>
  <si>
    <t xml:space="preserve">25-1078 &amp; 25-1178 </t>
  </si>
  <si>
    <t>25-1112</t>
  </si>
  <si>
    <t>25-1207 &amp; 25-1212</t>
  </si>
  <si>
    <t>25-1187</t>
  </si>
  <si>
    <t>25-1264</t>
  </si>
  <si>
    <t>25-1233&amp; 25-1166</t>
  </si>
  <si>
    <t>25-1263</t>
  </si>
  <si>
    <t>25-1232</t>
  </si>
  <si>
    <t xml:space="preserve">25-1318&amp;25-1310 </t>
  </si>
  <si>
    <t>25-1315</t>
  </si>
  <si>
    <t>25-1337</t>
  </si>
  <si>
    <t>25-1365</t>
  </si>
  <si>
    <t>25-1366</t>
  </si>
  <si>
    <t>25-1381</t>
  </si>
  <si>
    <t>25-1399</t>
  </si>
  <si>
    <t>25-1407 &amp; 25-1389 &amp; 25-1410</t>
  </si>
  <si>
    <t>25-1404 &amp; 25-1408</t>
  </si>
  <si>
    <t>25-1419</t>
  </si>
  <si>
    <t>25-1439</t>
  </si>
  <si>
    <t>25-1433</t>
  </si>
  <si>
    <t>25-1458</t>
  </si>
  <si>
    <t>25-1473</t>
  </si>
  <si>
    <t>25-1484</t>
  </si>
  <si>
    <t>25-1501</t>
  </si>
  <si>
    <t>25-1151</t>
  </si>
  <si>
    <t>25-1556</t>
  </si>
  <si>
    <t>25-1590</t>
  </si>
  <si>
    <t>25-1593</t>
  </si>
  <si>
    <t>25-1524</t>
  </si>
  <si>
    <t>25-1585</t>
  </si>
  <si>
    <t>25-1663</t>
  </si>
  <si>
    <t>25-1680</t>
  </si>
  <si>
    <t>25-1697</t>
  </si>
  <si>
    <t>25-1714</t>
  </si>
  <si>
    <t>25-1702</t>
  </si>
  <si>
    <t>25-1752</t>
  </si>
  <si>
    <t>25-1739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</si>
</sst>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name val="Yu Gothi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Border="1" applyAlignment="1">
      <alignment wrapText="1"/>
    </xf>
    <xf numFmtId="14" fontId="18" fillId="0" borderId="0" xfId="0" applyNumberFormat="1" applyFont="1" applyBorder="1" applyAlignment="1">
      <alignment wrapText="1"/>
    </xf>
    <xf numFmtId="22" fontId="18" fillId="0" borderId="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53DD-C2FD-4814-A784-CF00CCC4BC6C}">
  <dimension ref="A1:N108"/>
  <sheetViews>
    <sheetView tabSelected="1" workbookViewId="0">
      <selection activeCell="K3" sqref="K3"/>
    </sheetView>
  </sheetViews>
  <sheetFormatPr defaultRowHeight="15" x14ac:dyDescent="0.2"/>
  <cols>
    <col min="1" max="1" width="18.4296875" customWidth="1"/>
    <col min="5" max="5" width="34.4375" customWidth="1"/>
    <col min="6" max="6" width="15.6015625" customWidth="1"/>
    <col min="8" max="8" width="20.58203125" customWidth="1"/>
    <col min="10" max="10" width="15.73828125" customWidth="1"/>
    <col min="11" max="11" width="15.33203125" customWidth="1"/>
    <col min="12" max="12" width="13.5859375" customWidth="1"/>
  </cols>
  <sheetData>
    <row r="1" spans="1:14" x14ac:dyDescent="0.2">
      <c r="A1" t="s">
        <v>2</v>
      </c>
      <c r="B1" t="s">
        <v>3</v>
      </c>
      <c r="C1" t="s">
        <v>4</v>
      </c>
      <c r="D1" t="s">
        <v>5</v>
      </c>
      <c r="E1" t="s">
        <v>14</v>
      </c>
      <c r="F1" t="s">
        <v>0</v>
      </c>
      <c r="G1" t="s">
        <v>59</v>
      </c>
      <c r="H1" t="s">
        <v>1</v>
      </c>
      <c r="I1" t="s">
        <v>6</v>
      </c>
      <c r="J1" t="s">
        <v>8</v>
      </c>
      <c r="K1" t="s">
        <v>9</v>
      </c>
      <c r="L1" t="s">
        <v>10</v>
      </c>
      <c r="N1">
        <f>SUM(L:L)</f>
        <v>793.61999999999932</v>
      </c>
    </row>
    <row r="2" spans="1:14" x14ac:dyDescent="0.2">
      <c r="A2" t="s">
        <v>7</v>
      </c>
      <c r="B2" s="2">
        <v>92.4</v>
      </c>
      <c r="C2" s="2">
        <v>10</v>
      </c>
      <c r="D2" s="2">
        <v>0</v>
      </c>
      <c r="F2">
        <v>49193000183</v>
      </c>
      <c r="G2" t="s">
        <v>60</v>
      </c>
      <c r="H2" s="1">
        <v>45987.813171296293</v>
      </c>
      <c r="I2" s="2">
        <v>102.4</v>
      </c>
      <c r="J2" t="s">
        <v>149</v>
      </c>
      <c r="K2">
        <f>114*2</f>
        <v>228</v>
      </c>
      <c r="L2" s="2">
        <f>(K2-I2)*0.1</f>
        <v>12.56</v>
      </c>
    </row>
    <row r="3" spans="1:14" x14ac:dyDescent="0.2">
      <c r="A3" t="s">
        <v>7</v>
      </c>
      <c r="B3" s="2">
        <v>38.5</v>
      </c>
      <c r="C3" s="2">
        <v>10</v>
      </c>
      <c r="D3" s="2">
        <v>0</v>
      </c>
      <c r="F3">
        <v>49193000182</v>
      </c>
      <c r="G3" t="s">
        <v>60</v>
      </c>
      <c r="H3" s="1">
        <v>45987.79277777778</v>
      </c>
      <c r="I3" s="2">
        <v>48.5</v>
      </c>
      <c r="J3" t="s">
        <v>151</v>
      </c>
      <c r="L3" s="2">
        <f>(K3-I3)*0.1</f>
        <v>-4.8500000000000005</v>
      </c>
    </row>
    <row r="4" spans="1:14" x14ac:dyDescent="0.2">
      <c r="A4" t="s">
        <v>7</v>
      </c>
      <c r="B4" s="2">
        <v>7.5</v>
      </c>
      <c r="C4" s="2">
        <v>10</v>
      </c>
      <c r="D4" s="2">
        <v>0</v>
      </c>
      <c r="F4">
        <v>49193000181</v>
      </c>
      <c r="G4" t="s">
        <v>60</v>
      </c>
      <c r="H4" s="1">
        <v>45987.777002314811</v>
      </c>
      <c r="I4" s="2">
        <v>17.5</v>
      </c>
      <c r="J4" t="s">
        <v>150</v>
      </c>
      <c r="L4" s="2"/>
    </row>
    <row r="5" spans="1:14" x14ac:dyDescent="0.2">
      <c r="A5" t="s">
        <v>7</v>
      </c>
      <c r="B5" s="2">
        <v>35</v>
      </c>
      <c r="C5" s="2">
        <v>20</v>
      </c>
      <c r="D5" s="2">
        <v>0</v>
      </c>
      <c r="F5">
        <v>49193000180</v>
      </c>
      <c r="G5" t="s">
        <v>60</v>
      </c>
      <c r="H5" s="1">
        <v>45979.008356481485</v>
      </c>
      <c r="I5" s="2">
        <v>55</v>
      </c>
      <c r="J5" t="s">
        <v>149</v>
      </c>
      <c r="L5" s="2"/>
    </row>
    <row r="6" spans="1:14" x14ac:dyDescent="0.2">
      <c r="A6" t="s">
        <v>7</v>
      </c>
      <c r="B6" s="2">
        <v>18</v>
      </c>
      <c r="C6" s="2">
        <v>10</v>
      </c>
      <c r="D6" s="2">
        <v>0</v>
      </c>
      <c r="F6">
        <v>49193000179</v>
      </c>
      <c r="G6" t="s">
        <v>60</v>
      </c>
      <c r="H6" s="1">
        <v>45978.733773148146</v>
      </c>
      <c r="I6" s="2">
        <v>28</v>
      </c>
      <c r="J6" t="s">
        <v>148</v>
      </c>
      <c r="L6" s="2"/>
    </row>
    <row r="7" spans="1:14" x14ac:dyDescent="0.2">
      <c r="A7" t="s">
        <v>7</v>
      </c>
      <c r="B7" s="2">
        <v>45</v>
      </c>
      <c r="C7" s="2">
        <v>10</v>
      </c>
      <c r="D7" s="2">
        <v>0</v>
      </c>
      <c r="F7">
        <v>49193000178</v>
      </c>
      <c r="G7" t="s">
        <v>60</v>
      </c>
      <c r="H7" s="1">
        <v>45973.761990740742</v>
      </c>
      <c r="I7" s="2">
        <v>55</v>
      </c>
      <c r="J7" t="s">
        <v>147</v>
      </c>
      <c r="K7">
        <v>147</v>
      </c>
      <c r="L7" s="2">
        <f>(K7-I7)*0.1</f>
        <v>9.2000000000000011</v>
      </c>
    </row>
    <row r="8" spans="1:14" x14ac:dyDescent="0.2">
      <c r="A8" t="s">
        <v>7</v>
      </c>
      <c r="B8" s="2">
        <v>22.18</v>
      </c>
      <c r="C8" s="2">
        <v>10</v>
      </c>
      <c r="D8" s="2">
        <v>0</v>
      </c>
      <c r="F8">
        <v>49193000177</v>
      </c>
      <c r="G8" t="s">
        <v>60</v>
      </c>
      <c r="H8" s="1">
        <v>45971.968518518515</v>
      </c>
      <c r="I8" s="2">
        <v>32.18</v>
      </c>
      <c r="J8" t="s">
        <v>146</v>
      </c>
      <c r="K8">
        <v>65</v>
      </c>
      <c r="L8" s="2">
        <f>(K8-I8)*0.1</f>
        <v>3.282</v>
      </c>
    </row>
    <row r="9" spans="1:14" x14ac:dyDescent="0.2">
      <c r="A9" t="s">
        <v>7</v>
      </c>
      <c r="B9" s="2">
        <v>29.9</v>
      </c>
      <c r="C9" s="2">
        <v>10</v>
      </c>
      <c r="D9" s="2">
        <v>0</v>
      </c>
      <c r="F9">
        <v>49193000176</v>
      </c>
      <c r="G9" t="s">
        <v>60</v>
      </c>
      <c r="H9" s="1">
        <v>45967.854687500003</v>
      </c>
      <c r="I9" s="2">
        <v>39.9</v>
      </c>
      <c r="J9" t="s">
        <v>145</v>
      </c>
      <c r="K9">
        <v>80</v>
      </c>
      <c r="L9" s="2">
        <f>(K9-I9)*0.1</f>
        <v>4.0100000000000007</v>
      </c>
    </row>
    <row r="10" spans="1:14" x14ac:dyDescent="0.2">
      <c r="A10" s="4" t="s">
        <v>37</v>
      </c>
      <c r="B10" s="4">
        <v>207.6</v>
      </c>
      <c r="C10" s="4">
        <v>23.42</v>
      </c>
      <c r="D10" s="4">
        <v>19.38</v>
      </c>
      <c r="E10" s="4" t="s">
        <v>58</v>
      </c>
      <c r="F10" s="4">
        <v>13361827</v>
      </c>
      <c r="G10" t="s">
        <v>62</v>
      </c>
      <c r="H10" s="6">
        <v>45966.894444444442</v>
      </c>
      <c r="I10" s="4">
        <v>250.4</v>
      </c>
      <c r="J10" t="s">
        <v>144</v>
      </c>
      <c r="K10">
        <f>254*2</f>
        <v>508</v>
      </c>
      <c r="L10" s="2">
        <f>(K10-I10)*0.1</f>
        <v>25.760000000000005</v>
      </c>
    </row>
    <row r="11" spans="1:14" x14ac:dyDescent="0.2">
      <c r="A11" s="5">
        <v>45964</v>
      </c>
      <c r="B11" s="4">
        <v>13.59</v>
      </c>
      <c r="C11" s="4">
        <v>11.56</v>
      </c>
      <c r="D11" s="4">
        <v>0</v>
      </c>
      <c r="E11" s="4" t="s">
        <v>15</v>
      </c>
      <c r="F11" s="4">
        <v>19933824</v>
      </c>
      <c r="G11" t="s">
        <v>61</v>
      </c>
      <c r="H11" s="5">
        <v>45960</v>
      </c>
      <c r="I11" s="4">
        <v>25.15</v>
      </c>
      <c r="J11" t="s">
        <v>143</v>
      </c>
      <c r="K11">
        <v>40</v>
      </c>
      <c r="L11" s="2">
        <f>(K11-I11)*0.1</f>
        <v>1.4850000000000003</v>
      </c>
    </row>
    <row r="12" spans="1:14" ht="27.75" x14ac:dyDescent="0.2">
      <c r="A12" s="4" t="s">
        <v>37</v>
      </c>
      <c r="B12" s="4">
        <v>57.16</v>
      </c>
      <c r="C12" s="4">
        <v>7</v>
      </c>
      <c r="D12" s="4">
        <v>5.38</v>
      </c>
      <c r="E12" s="4" t="s">
        <v>57</v>
      </c>
      <c r="F12" s="4">
        <v>13235200</v>
      </c>
      <c r="G12" t="s">
        <v>62</v>
      </c>
      <c r="H12" s="6">
        <v>45957.862500000003</v>
      </c>
      <c r="I12" s="4">
        <v>69.540000000000006</v>
      </c>
      <c r="J12" t="s">
        <v>142</v>
      </c>
      <c r="K12">
        <v>135</v>
      </c>
      <c r="L12" s="2"/>
    </row>
    <row r="13" spans="1:14" x14ac:dyDescent="0.2">
      <c r="A13" t="s">
        <v>7</v>
      </c>
      <c r="B13" s="2">
        <v>100</v>
      </c>
      <c r="C13" s="2">
        <v>10</v>
      </c>
      <c r="D13" s="2">
        <v>0</v>
      </c>
      <c r="F13">
        <v>49193000175</v>
      </c>
      <c r="G13" t="s">
        <v>60</v>
      </c>
      <c r="H13" s="1">
        <v>45954.813101851854</v>
      </c>
      <c r="I13" s="2">
        <v>110</v>
      </c>
      <c r="J13" t="s">
        <v>141</v>
      </c>
      <c r="L13" s="2"/>
    </row>
    <row r="14" spans="1:14" x14ac:dyDescent="0.2">
      <c r="A14" t="s">
        <v>7</v>
      </c>
      <c r="B14" s="2">
        <v>70.39</v>
      </c>
      <c r="C14" s="2">
        <v>20</v>
      </c>
      <c r="D14" s="2">
        <v>0</v>
      </c>
      <c r="F14">
        <v>49193000174</v>
      </c>
      <c r="G14" t="s">
        <v>60</v>
      </c>
      <c r="H14" s="1">
        <v>45950.928310185183</v>
      </c>
      <c r="I14" s="2">
        <v>90.39</v>
      </c>
      <c r="J14" t="s">
        <v>140</v>
      </c>
      <c r="K14">
        <f>95+110</f>
        <v>205</v>
      </c>
      <c r="L14" s="2">
        <f>(K14-I14)*0.1</f>
        <v>11.461</v>
      </c>
    </row>
    <row r="15" spans="1:14" x14ac:dyDescent="0.2">
      <c r="A15" t="s">
        <v>7</v>
      </c>
      <c r="B15" s="2">
        <v>94</v>
      </c>
      <c r="C15" s="2">
        <v>10</v>
      </c>
      <c r="D15" s="2">
        <v>0</v>
      </c>
      <c r="F15">
        <v>49193000173</v>
      </c>
      <c r="G15" t="s">
        <v>60</v>
      </c>
      <c r="H15" s="1">
        <v>45950.845092592594</v>
      </c>
      <c r="I15" s="2">
        <v>104</v>
      </c>
      <c r="J15" t="s">
        <v>139</v>
      </c>
      <c r="K15">
        <v>782</v>
      </c>
      <c r="L15" s="2">
        <f>(K15-I15)*0.1</f>
        <v>67.8</v>
      </c>
    </row>
    <row r="16" spans="1:14" x14ac:dyDescent="0.2">
      <c r="A16" t="s">
        <v>7</v>
      </c>
      <c r="B16" s="2">
        <v>133.5</v>
      </c>
      <c r="C16" s="2">
        <v>10</v>
      </c>
      <c r="D16" s="2">
        <v>0</v>
      </c>
      <c r="F16">
        <v>49193000172</v>
      </c>
      <c r="G16" t="s">
        <v>60</v>
      </c>
      <c r="H16" s="1">
        <v>45943.694872685184</v>
      </c>
      <c r="I16" s="2">
        <v>143.5</v>
      </c>
      <c r="J16" t="s">
        <v>138</v>
      </c>
      <c r="K16">
        <v>175</v>
      </c>
      <c r="L16" s="2">
        <f>(K16-I16)*0.1</f>
        <v>3.1500000000000004</v>
      </c>
    </row>
    <row r="17" spans="1:12" x14ac:dyDescent="0.2">
      <c r="A17" t="s">
        <v>7</v>
      </c>
      <c r="B17" s="2">
        <v>206</v>
      </c>
      <c r="C17" s="2">
        <v>20</v>
      </c>
      <c r="D17" s="2">
        <v>0</v>
      </c>
      <c r="F17">
        <v>49193000171</v>
      </c>
      <c r="G17" t="s">
        <v>60</v>
      </c>
      <c r="H17" s="1">
        <v>45937.825752314813</v>
      </c>
      <c r="I17" s="2">
        <v>226</v>
      </c>
      <c r="J17" t="s">
        <v>137</v>
      </c>
      <c r="K17">
        <v>240</v>
      </c>
      <c r="L17" s="2">
        <f>(K17-I17)*0.1</f>
        <v>1.4000000000000001</v>
      </c>
    </row>
    <row r="18" spans="1:12" x14ac:dyDescent="0.2">
      <c r="A18" t="s">
        <v>7</v>
      </c>
      <c r="B18" s="2">
        <v>56.5</v>
      </c>
      <c r="C18" s="2">
        <v>10</v>
      </c>
      <c r="D18" s="2">
        <v>0</v>
      </c>
      <c r="F18">
        <v>49193000170</v>
      </c>
      <c r="G18" t="s">
        <v>60</v>
      </c>
      <c r="H18" s="1">
        <v>45936.835219907407</v>
      </c>
      <c r="I18" s="2">
        <v>66.5</v>
      </c>
      <c r="J18" t="s">
        <v>136</v>
      </c>
      <c r="L18" s="2"/>
    </row>
    <row r="19" spans="1:12" x14ac:dyDescent="0.2">
      <c r="A19" t="s">
        <v>7</v>
      </c>
      <c r="B19" s="2">
        <v>17.5</v>
      </c>
      <c r="C19" s="2">
        <v>10</v>
      </c>
      <c r="D19" s="2">
        <v>0</v>
      </c>
      <c r="F19">
        <v>49193000169</v>
      </c>
      <c r="G19" t="s">
        <v>60</v>
      </c>
      <c r="H19" s="1">
        <v>45933.790983796294</v>
      </c>
      <c r="I19" s="2">
        <v>27.5</v>
      </c>
      <c r="J19" t="s">
        <v>135</v>
      </c>
      <c r="K19">
        <v>60</v>
      </c>
      <c r="L19" s="2">
        <f>(K19-I19)*0.1</f>
        <v>3.25</v>
      </c>
    </row>
    <row r="20" spans="1:12" x14ac:dyDescent="0.2">
      <c r="A20" t="s">
        <v>7</v>
      </c>
      <c r="B20" s="2">
        <v>30</v>
      </c>
      <c r="C20" s="2">
        <v>10</v>
      </c>
      <c r="D20" s="2">
        <v>0</v>
      </c>
      <c r="F20">
        <v>49193000168</v>
      </c>
      <c r="G20" t="s">
        <v>60</v>
      </c>
      <c r="H20" s="1">
        <v>45931.699293981481</v>
      </c>
      <c r="I20" s="2">
        <v>40</v>
      </c>
      <c r="J20" t="s">
        <v>134</v>
      </c>
      <c r="K20">
        <v>148</v>
      </c>
      <c r="L20" s="2">
        <f>(K20-I20)*0.1</f>
        <v>10.8</v>
      </c>
    </row>
    <row r="21" spans="1:12" x14ac:dyDescent="0.2">
      <c r="A21" t="s">
        <v>7</v>
      </c>
      <c r="B21" s="2">
        <v>12</v>
      </c>
      <c r="C21" s="2">
        <v>10</v>
      </c>
      <c r="D21" s="2">
        <v>0</v>
      </c>
      <c r="F21">
        <v>49193000167</v>
      </c>
      <c r="G21" t="s">
        <v>60</v>
      </c>
      <c r="H21" s="1">
        <v>45930.665775462963</v>
      </c>
      <c r="I21" s="2">
        <v>22</v>
      </c>
      <c r="J21" t="s">
        <v>133</v>
      </c>
      <c r="K21">
        <v>65</v>
      </c>
      <c r="L21" s="2">
        <f>(K21-I21)*0.1</f>
        <v>4.3</v>
      </c>
    </row>
    <row r="22" spans="1:12" x14ac:dyDescent="0.2">
      <c r="A22" t="s">
        <v>7</v>
      </c>
      <c r="B22" s="2">
        <v>99.25</v>
      </c>
      <c r="C22" s="2">
        <v>10</v>
      </c>
      <c r="D22" s="2">
        <v>0</v>
      </c>
      <c r="F22">
        <v>49193000166</v>
      </c>
      <c r="G22" t="s">
        <v>60</v>
      </c>
      <c r="H22" s="1">
        <v>45929.624675925923</v>
      </c>
      <c r="I22" s="2">
        <v>109.25</v>
      </c>
      <c r="J22" t="s">
        <v>132</v>
      </c>
      <c r="L22" s="2"/>
    </row>
    <row r="23" spans="1:12" x14ac:dyDescent="0.2">
      <c r="A23" t="s">
        <v>7</v>
      </c>
      <c r="B23" s="2">
        <v>248</v>
      </c>
      <c r="C23" s="2">
        <v>60</v>
      </c>
      <c r="D23" s="2">
        <v>0</v>
      </c>
      <c r="F23">
        <v>49193000165</v>
      </c>
      <c r="G23" t="s">
        <v>60</v>
      </c>
      <c r="H23" s="1">
        <v>45925.795914351853</v>
      </c>
      <c r="I23" s="2">
        <v>308</v>
      </c>
      <c r="J23" t="s">
        <v>131</v>
      </c>
      <c r="K23">
        <f>584+42</f>
        <v>626</v>
      </c>
      <c r="L23" s="2">
        <f>(K23-I23)*0.1</f>
        <v>31.8</v>
      </c>
    </row>
    <row r="24" spans="1:12" x14ac:dyDescent="0.2">
      <c r="A24" t="s">
        <v>7</v>
      </c>
      <c r="B24" s="2">
        <v>252.5</v>
      </c>
      <c r="C24" s="2">
        <v>70</v>
      </c>
      <c r="D24" s="2">
        <v>0</v>
      </c>
      <c r="F24">
        <v>49193000164</v>
      </c>
      <c r="G24" t="s">
        <v>60</v>
      </c>
      <c r="H24" s="1">
        <v>45924.773182870369</v>
      </c>
      <c r="I24" s="2">
        <v>322.5</v>
      </c>
      <c r="J24" t="s">
        <v>130</v>
      </c>
      <c r="K24">
        <f>350+65+240</f>
        <v>655</v>
      </c>
      <c r="L24" s="2">
        <f>(K24-I24)*0.1</f>
        <v>33.25</v>
      </c>
    </row>
    <row r="25" spans="1:12" x14ac:dyDescent="0.2">
      <c r="A25" t="s">
        <v>7</v>
      </c>
      <c r="B25" s="2">
        <v>70</v>
      </c>
      <c r="C25" s="2">
        <v>15</v>
      </c>
      <c r="D25" s="2">
        <v>0</v>
      </c>
      <c r="F25">
        <v>49193000163</v>
      </c>
      <c r="G25" t="s">
        <v>60</v>
      </c>
      <c r="H25" s="1">
        <v>45923.70648148148</v>
      </c>
      <c r="I25" s="2">
        <v>85</v>
      </c>
      <c r="J25" t="s">
        <v>129</v>
      </c>
      <c r="K25">
        <v>170</v>
      </c>
      <c r="L25" s="2">
        <f>(K25-I25)*0.1</f>
        <v>8.5</v>
      </c>
    </row>
    <row r="26" spans="1:12" ht="27.75" x14ac:dyDescent="0.2">
      <c r="A26" s="4" t="s">
        <v>37</v>
      </c>
      <c r="B26" s="4">
        <v>366.6</v>
      </c>
      <c r="C26" s="4">
        <v>23.43</v>
      </c>
      <c r="D26" s="4">
        <v>32.72</v>
      </c>
      <c r="E26" s="4" t="s">
        <v>56</v>
      </c>
      <c r="F26" s="4">
        <v>12749911</v>
      </c>
      <c r="G26" t="s">
        <v>62</v>
      </c>
      <c r="H26" s="6">
        <v>45922.988888888889</v>
      </c>
      <c r="I26" s="4">
        <v>422.75</v>
      </c>
      <c r="J26" t="s">
        <v>128</v>
      </c>
      <c r="K26">
        <v>845</v>
      </c>
      <c r="L26" s="2">
        <f>(K26-I26)*0.1</f>
        <v>42.225000000000001</v>
      </c>
    </row>
    <row r="27" spans="1:12" x14ac:dyDescent="0.2">
      <c r="A27" t="s">
        <v>7</v>
      </c>
      <c r="B27" s="2">
        <v>120</v>
      </c>
      <c r="C27" s="2">
        <v>10</v>
      </c>
      <c r="D27" s="2">
        <v>0</v>
      </c>
      <c r="F27">
        <v>49193000162</v>
      </c>
      <c r="G27" t="s">
        <v>60</v>
      </c>
      <c r="H27" s="1">
        <v>45919.755543981482</v>
      </c>
      <c r="I27" s="2">
        <v>130</v>
      </c>
      <c r="J27" t="s">
        <v>127</v>
      </c>
      <c r="K27">
        <f>80*3</f>
        <v>240</v>
      </c>
      <c r="L27" s="2">
        <f>(K27-I27)*0.1</f>
        <v>11</v>
      </c>
    </row>
    <row r="28" spans="1:12" x14ac:dyDescent="0.2">
      <c r="A28" t="s">
        <v>7</v>
      </c>
      <c r="B28" s="2">
        <v>69</v>
      </c>
      <c r="C28" s="2">
        <v>10</v>
      </c>
      <c r="D28" s="2">
        <v>0</v>
      </c>
      <c r="F28">
        <v>49193000161</v>
      </c>
      <c r="G28" t="s">
        <v>60</v>
      </c>
      <c r="H28" s="1">
        <v>45917.61986111111</v>
      </c>
      <c r="I28" s="2">
        <v>79</v>
      </c>
      <c r="L28" s="2"/>
    </row>
    <row r="29" spans="1:12" x14ac:dyDescent="0.2">
      <c r="A29" t="s">
        <v>7</v>
      </c>
      <c r="B29" s="2">
        <v>70</v>
      </c>
      <c r="C29" s="2">
        <v>35</v>
      </c>
      <c r="D29" s="2">
        <v>0</v>
      </c>
      <c r="F29">
        <v>49193000160</v>
      </c>
      <c r="G29" t="s">
        <v>60</v>
      </c>
      <c r="H29" s="1">
        <v>45915.759791666664</v>
      </c>
      <c r="I29" s="2">
        <v>105</v>
      </c>
      <c r="J29" t="s">
        <v>126</v>
      </c>
      <c r="K29">
        <v>170</v>
      </c>
      <c r="L29" s="2">
        <f>(K29-I29)*0.1</f>
        <v>6.5</v>
      </c>
    </row>
    <row r="30" spans="1:12" x14ac:dyDescent="0.2">
      <c r="A30" t="s">
        <v>7</v>
      </c>
      <c r="B30" s="2">
        <v>44</v>
      </c>
      <c r="C30" s="2">
        <v>10</v>
      </c>
      <c r="D30" s="2">
        <v>0</v>
      </c>
      <c r="F30">
        <v>49193000159</v>
      </c>
      <c r="G30" t="s">
        <v>60</v>
      </c>
      <c r="H30" s="1">
        <v>45915.728090277778</v>
      </c>
      <c r="I30" s="2">
        <v>54</v>
      </c>
      <c r="J30" t="s">
        <v>125</v>
      </c>
      <c r="K30">
        <v>118</v>
      </c>
      <c r="L30" s="2">
        <f>(K30-I30)*0.1</f>
        <v>6.4</v>
      </c>
    </row>
    <row r="31" spans="1:12" ht="27.75" x14ac:dyDescent="0.2">
      <c r="A31" s="4" t="s">
        <v>37</v>
      </c>
      <c r="B31" s="4">
        <v>55</v>
      </c>
      <c r="C31" s="4">
        <v>13.41</v>
      </c>
      <c r="D31" s="4">
        <v>4.59</v>
      </c>
      <c r="E31" s="4" t="s">
        <v>55</v>
      </c>
      <c r="F31" s="4">
        <v>12584221</v>
      </c>
      <c r="G31" t="s">
        <v>62</v>
      </c>
      <c r="H31" s="6">
        <v>45910.859722222223</v>
      </c>
      <c r="I31" s="4">
        <v>59.25</v>
      </c>
      <c r="J31" t="s">
        <v>124</v>
      </c>
      <c r="K31">
        <v>140</v>
      </c>
      <c r="L31" s="2">
        <f>(K31-I31)*0.1</f>
        <v>8.0750000000000011</v>
      </c>
    </row>
    <row r="32" spans="1:12" x14ac:dyDescent="0.2">
      <c r="A32" t="s">
        <v>7</v>
      </c>
      <c r="B32" s="2">
        <v>140</v>
      </c>
      <c r="C32" s="2">
        <v>15</v>
      </c>
      <c r="D32" s="2">
        <v>0</v>
      </c>
      <c r="F32">
        <v>49193000158</v>
      </c>
      <c r="G32" t="s">
        <v>60</v>
      </c>
      <c r="H32" s="1">
        <v>45910.688900462963</v>
      </c>
      <c r="I32" s="2">
        <v>155</v>
      </c>
      <c r="J32" t="s">
        <v>123</v>
      </c>
      <c r="K32">
        <f>170+180</f>
        <v>350</v>
      </c>
      <c r="L32" s="2">
        <f>(K32-I32)*0.1</f>
        <v>19.5</v>
      </c>
    </row>
    <row r="33" spans="1:12" x14ac:dyDescent="0.2">
      <c r="A33" t="s">
        <v>7</v>
      </c>
      <c r="B33" s="2">
        <v>121.5</v>
      </c>
      <c r="C33" s="2">
        <v>10</v>
      </c>
      <c r="D33" s="2">
        <v>0</v>
      </c>
      <c r="F33">
        <v>49193000157</v>
      </c>
      <c r="G33" t="s">
        <v>60</v>
      </c>
      <c r="H33" s="1">
        <v>45908.541226851848</v>
      </c>
      <c r="I33" s="2">
        <v>131.5</v>
      </c>
      <c r="J33" t="s">
        <v>122</v>
      </c>
      <c r="K33">
        <v>183</v>
      </c>
      <c r="L33" s="2">
        <f>(K33-I33)*0.1</f>
        <v>5.15</v>
      </c>
    </row>
    <row r="34" spans="1:12" x14ac:dyDescent="0.2">
      <c r="A34" t="s">
        <v>7</v>
      </c>
      <c r="B34" s="2">
        <v>49.33</v>
      </c>
      <c r="C34" s="2">
        <v>10</v>
      </c>
      <c r="D34" s="2">
        <v>0</v>
      </c>
      <c r="F34">
        <v>49193000156</v>
      </c>
      <c r="G34" t="s">
        <v>60</v>
      </c>
      <c r="H34" s="1">
        <v>45904.668287037035</v>
      </c>
      <c r="I34" s="2">
        <v>59.33</v>
      </c>
      <c r="J34" t="s">
        <v>121</v>
      </c>
      <c r="K34">
        <v>55</v>
      </c>
      <c r="L34" s="2">
        <f>(K34-I34)*0.1</f>
        <v>-0.43299999999999983</v>
      </c>
    </row>
    <row r="35" spans="1:12" x14ac:dyDescent="0.2">
      <c r="A35" s="5">
        <v>45905</v>
      </c>
      <c r="B35" s="4">
        <v>35.19</v>
      </c>
      <c r="C35" s="4">
        <v>19.059999999999999</v>
      </c>
      <c r="D35" s="4">
        <v>0</v>
      </c>
      <c r="E35" s="4" t="s">
        <v>16</v>
      </c>
      <c r="F35" s="4">
        <v>19694411</v>
      </c>
      <c r="G35" t="s">
        <v>61</v>
      </c>
      <c r="H35" s="5">
        <v>45903</v>
      </c>
      <c r="I35" s="4">
        <v>54.25</v>
      </c>
      <c r="J35" t="s">
        <v>120</v>
      </c>
      <c r="K35">
        <f>80+25</f>
        <v>105</v>
      </c>
      <c r="L35" s="2">
        <f>(K35-I35)*0.1</f>
        <v>5.0750000000000002</v>
      </c>
    </row>
    <row r="36" spans="1:12" ht="27.75" x14ac:dyDescent="0.2">
      <c r="A36" s="4" t="s">
        <v>45</v>
      </c>
      <c r="B36" s="4">
        <v>5.45</v>
      </c>
      <c r="C36" s="4">
        <v>10</v>
      </c>
      <c r="D36" s="4">
        <v>1.61</v>
      </c>
      <c r="E36" s="4" t="s">
        <v>54</v>
      </c>
      <c r="F36" s="4">
        <v>12442517</v>
      </c>
      <c r="G36" t="s">
        <v>62</v>
      </c>
      <c r="H36" s="6">
        <v>45901.714583333334</v>
      </c>
      <c r="I36" s="4">
        <v>20.81</v>
      </c>
      <c r="J36" t="s">
        <v>119</v>
      </c>
      <c r="L36" s="2">
        <f>(K36-I36)*0.1</f>
        <v>-2.081</v>
      </c>
    </row>
    <row r="37" spans="1:12" x14ac:dyDescent="0.2">
      <c r="A37" t="s">
        <v>7</v>
      </c>
      <c r="B37" s="2">
        <v>6.58</v>
      </c>
      <c r="C37" s="2">
        <v>10</v>
      </c>
      <c r="D37" s="2">
        <v>0</v>
      </c>
      <c r="F37">
        <v>49193000155</v>
      </c>
      <c r="G37" t="s">
        <v>60</v>
      </c>
      <c r="H37" s="1">
        <v>45901.549675925926</v>
      </c>
      <c r="I37" s="2">
        <v>16.579999999999998</v>
      </c>
      <c r="J37" t="s">
        <v>114</v>
      </c>
      <c r="L37" s="2">
        <f>(K37-I37)*0.1</f>
        <v>-1.6579999999999999</v>
      </c>
    </row>
    <row r="38" spans="1:12" x14ac:dyDescent="0.2">
      <c r="A38" t="s">
        <v>7</v>
      </c>
      <c r="B38" s="2">
        <v>10</v>
      </c>
      <c r="C38" s="2">
        <v>10</v>
      </c>
      <c r="D38" s="2">
        <v>0</v>
      </c>
      <c r="F38">
        <v>49193000154</v>
      </c>
      <c r="G38" t="s">
        <v>60</v>
      </c>
      <c r="H38" s="1">
        <v>45900.919212962966</v>
      </c>
      <c r="I38" s="2">
        <v>20</v>
      </c>
      <c r="J38" t="s">
        <v>118</v>
      </c>
      <c r="K38">
        <v>50</v>
      </c>
      <c r="L38" s="2">
        <f>(K38-I38)*0.1</f>
        <v>3</v>
      </c>
    </row>
    <row r="39" spans="1:12" x14ac:dyDescent="0.2">
      <c r="A39" s="5">
        <v>45903</v>
      </c>
      <c r="B39" s="4">
        <v>39.76</v>
      </c>
      <c r="C39" s="4">
        <v>21.2</v>
      </c>
      <c r="D39" s="4">
        <v>0</v>
      </c>
      <c r="E39" s="4" t="s">
        <v>17</v>
      </c>
      <c r="F39" s="4">
        <v>19675515</v>
      </c>
      <c r="G39" t="s">
        <v>61</v>
      </c>
      <c r="H39" s="5">
        <v>45897</v>
      </c>
      <c r="I39" s="4">
        <v>60.96</v>
      </c>
      <c r="L39" s="2"/>
    </row>
    <row r="40" spans="1:12" x14ac:dyDescent="0.2">
      <c r="A40" t="s">
        <v>7</v>
      </c>
      <c r="B40" s="2">
        <v>171.5</v>
      </c>
      <c r="C40" s="2">
        <v>25</v>
      </c>
      <c r="D40" s="2">
        <v>0</v>
      </c>
      <c r="F40">
        <v>49193000153</v>
      </c>
      <c r="G40" t="s">
        <v>60</v>
      </c>
      <c r="H40" s="1">
        <v>45896.540138888886</v>
      </c>
      <c r="I40" s="2">
        <v>196.5</v>
      </c>
      <c r="J40" t="s">
        <v>117</v>
      </c>
      <c r="K40">
        <f>50+52+60</f>
        <v>162</v>
      </c>
      <c r="L40" s="2">
        <f>(K40-I40)*0.1</f>
        <v>-3.45</v>
      </c>
    </row>
    <row r="41" spans="1:12" x14ac:dyDescent="0.2">
      <c r="A41" s="4" t="s">
        <v>45</v>
      </c>
      <c r="B41" s="4">
        <v>1.77</v>
      </c>
      <c r="C41" s="4">
        <v>10</v>
      </c>
      <c r="D41" s="4">
        <v>1.3</v>
      </c>
      <c r="E41" s="4" t="s">
        <v>53</v>
      </c>
      <c r="F41" s="4">
        <v>12291470</v>
      </c>
      <c r="G41" t="s">
        <v>62</v>
      </c>
      <c r="H41" s="6">
        <v>45889.95416666667</v>
      </c>
      <c r="I41" s="4">
        <v>16.82</v>
      </c>
      <c r="J41" t="s">
        <v>116</v>
      </c>
      <c r="K41">
        <v>32</v>
      </c>
      <c r="L41" s="2">
        <f>(K41-I41)*0.1</f>
        <v>1.518</v>
      </c>
    </row>
    <row r="42" spans="1:12" x14ac:dyDescent="0.2">
      <c r="A42" t="s">
        <v>7</v>
      </c>
      <c r="B42" s="2">
        <v>138</v>
      </c>
      <c r="C42" s="2">
        <v>20</v>
      </c>
      <c r="D42" s="2">
        <v>0</v>
      </c>
      <c r="F42">
        <v>49193000152</v>
      </c>
      <c r="G42" t="s">
        <v>60</v>
      </c>
      <c r="H42" s="1">
        <v>45889.788101851853</v>
      </c>
      <c r="I42" s="2">
        <v>158</v>
      </c>
      <c r="L42" s="2"/>
    </row>
    <row r="43" spans="1:12" x14ac:dyDescent="0.2">
      <c r="A43" t="s">
        <v>7</v>
      </c>
      <c r="B43" s="2">
        <v>430.6</v>
      </c>
      <c r="C43" s="2">
        <v>30</v>
      </c>
      <c r="D43" s="2">
        <v>0</v>
      </c>
      <c r="F43">
        <v>49193000151</v>
      </c>
      <c r="G43" t="s">
        <v>60</v>
      </c>
      <c r="H43" s="1">
        <v>45888.92292824074</v>
      </c>
      <c r="I43" s="2">
        <v>460.6</v>
      </c>
      <c r="J43" t="s">
        <v>115</v>
      </c>
      <c r="K43">
        <f>0+420</f>
        <v>420</v>
      </c>
      <c r="L43" s="2">
        <f>(K43-I43)*0.1</f>
        <v>-4.0600000000000023</v>
      </c>
    </row>
    <row r="44" spans="1:12" x14ac:dyDescent="0.2">
      <c r="A44" t="s">
        <v>7</v>
      </c>
      <c r="B44" s="2">
        <v>517.69000000000005</v>
      </c>
      <c r="C44" s="2">
        <v>40</v>
      </c>
      <c r="D44" s="2">
        <v>0</v>
      </c>
      <c r="F44">
        <v>49193000150</v>
      </c>
      <c r="G44" t="s">
        <v>60</v>
      </c>
      <c r="H44" s="1">
        <v>45887.928067129629</v>
      </c>
      <c r="I44" s="2">
        <v>557.69000000000005</v>
      </c>
      <c r="J44" t="s">
        <v>114</v>
      </c>
      <c r="K44">
        <f>1350+507.5</f>
        <v>1857.5</v>
      </c>
      <c r="L44" s="2">
        <f>(K44-I44)*0.1</f>
        <v>129.98099999999999</v>
      </c>
    </row>
    <row r="45" spans="1:12" x14ac:dyDescent="0.2">
      <c r="A45" t="s">
        <v>7</v>
      </c>
      <c r="B45" s="2">
        <v>7.5</v>
      </c>
      <c r="C45" s="2">
        <v>10</v>
      </c>
      <c r="D45" s="2">
        <v>0</v>
      </c>
      <c r="F45">
        <v>49193000149</v>
      </c>
      <c r="G45" t="s">
        <v>60</v>
      </c>
      <c r="H45" s="1">
        <v>45883.879479166666</v>
      </c>
      <c r="I45" s="2">
        <v>17.5</v>
      </c>
      <c r="J45" t="s">
        <v>113</v>
      </c>
      <c r="K45">
        <v>60</v>
      </c>
      <c r="L45" s="2">
        <f>(K45-I45)*0.1</f>
        <v>4.25</v>
      </c>
    </row>
    <row r="46" spans="1:12" x14ac:dyDescent="0.2">
      <c r="A46" t="s">
        <v>7</v>
      </c>
      <c r="B46" s="2">
        <v>22.5</v>
      </c>
      <c r="C46" s="2">
        <v>10</v>
      </c>
      <c r="D46" s="2">
        <v>0</v>
      </c>
      <c r="F46">
        <v>49193000148</v>
      </c>
      <c r="G46" t="s">
        <v>60</v>
      </c>
      <c r="H46" s="1">
        <v>45876.714097222219</v>
      </c>
      <c r="I46" s="2">
        <v>32.5</v>
      </c>
      <c r="J46" t="s">
        <v>112</v>
      </c>
      <c r="K46">
        <v>61</v>
      </c>
      <c r="L46" s="2">
        <f>(K46-I46)*0.1</f>
        <v>2.85</v>
      </c>
    </row>
    <row r="47" spans="1:12" x14ac:dyDescent="0.2">
      <c r="A47" t="s">
        <v>7</v>
      </c>
      <c r="B47" s="2">
        <v>30</v>
      </c>
      <c r="C47" s="2">
        <v>10</v>
      </c>
      <c r="D47" s="2">
        <v>0</v>
      </c>
      <c r="F47">
        <v>49193000147</v>
      </c>
      <c r="G47" t="s">
        <v>60</v>
      </c>
      <c r="H47" s="1">
        <v>45869.796898148146</v>
      </c>
      <c r="I47" s="2">
        <v>40</v>
      </c>
      <c r="J47" t="s">
        <v>111</v>
      </c>
      <c r="K47">
        <v>68</v>
      </c>
      <c r="L47" s="2">
        <f>(K47-I47)*0.1</f>
        <v>2.8000000000000003</v>
      </c>
    </row>
    <row r="48" spans="1:12" x14ac:dyDescent="0.2">
      <c r="A48" t="s">
        <v>7</v>
      </c>
      <c r="B48" s="2">
        <v>45</v>
      </c>
      <c r="C48" s="2">
        <v>10</v>
      </c>
      <c r="D48" s="2">
        <v>0</v>
      </c>
      <c r="F48">
        <v>49193000146</v>
      </c>
      <c r="G48" t="s">
        <v>60</v>
      </c>
      <c r="H48" s="1">
        <v>45859.491041666668</v>
      </c>
      <c r="I48" s="2">
        <v>55</v>
      </c>
      <c r="J48" t="s">
        <v>110</v>
      </c>
      <c r="K48">
        <v>68</v>
      </c>
      <c r="L48" s="2">
        <f>(K48-I48)*0.1</f>
        <v>1.3</v>
      </c>
    </row>
    <row r="49" spans="1:12" x14ac:dyDescent="0.2">
      <c r="A49" t="s">
        <v>7</v>
      </c>
      <c r="B49" s="2">
        <v>33.75</v>
      </c>
      <c r="C49" s="2">
        <v>10</v>
      </c>
      <c r="D49" s="2">
        <v>0</v>
      </c>
      <c r="F49">
        <v>49193000145</v>
      </c>
      <c r="G49" t="s">
        <v>60</v>
      </c>
      <c r="H49" s="1">
        <v>45845.538564814815</v>
      </c>
      <c r="I49" s="2">
        <v>43.75</v>
      </c>
      <c r="J49" t="s">
        <v>109</v>
      </c>
      <c r="K49">
        <f>49+60</f>
        <v>109</v>
      </c>
      <c r="L49" s="2">
        <f>(K49-I49)*0.1</f>
        <v>6.5250000000000004</v>
      </c>
    </row>
    <row r="50" spans="1:12" x14ac:dyDescent="0.2">
      <c r="A50" s="5">
        <v>45847</v>
      </c>
      <c r="B50" s="4">
        <v>501.17</v>
      </c>
      <c r="C50" s="4">
        <v>30.72</v>
      </c>
      <c r="D50" s="4">
        <v>0</v>
      </c>
      <c r="E50" s="4" t="s">
        <v>18</v>
      </c>
      <c r="F50" s="4">
        <v>19323188</v>
      </c>
      <c r="G50" t="s">
        <v>61</v>
      </c>
      <c r="H50" s="5">
        <v>45832</v>
      </c>
      <c r="I50" s="4">
        <v>531.89</v>
      </c>
      <c r="J50" t="s">
        <v>108</v>
      </c>
      <c r="K50">
        <v>825</v>
      </c>
      <c r="L50" s="2">
        <f>(K50-I50)*0.1</f>
        <v>29.311000000000003</v>
      </c>
    </row>
    <row r="51" spans="1:12" ht="27.75" x14ac:dyDescent="0.2">
      <c r="A51" s="4" t="s">
        <v>45</v>
      </c>
      <c r="B51" s="4">
        <v>65</v>
      </c>
      <c r="C51" s="4">
        <v>10</v>
      </c>
      <c r="D51" s="4">
        <v>6.05</v>
      </c>
      <c r="E51" s="4" t="s">
        <v>52</v>
      </c>
      <c r="F51" s="4">
        <v>11474370</v>
      </c>
      <c r="G51" t="s">
        <v>62</v>
      </c>
      <c r="H51" s="6">
        <v>45826.855555555558</v>
      </c>
      <c r="I51" s="4">
        <v>81.05</v>
      </c>
      <c r="J51" t="s">
        <v>107</v>
      </c>
      <c r="K51">
        <v>185</v>
      </c>
      <c r="L51" s="2">
        <f>(K51-I51)*0.1</f>
        <v>10.395000000000001</v>
      </c>
    </row>
    <row r="52" spans="1:12" ht="27.75" x14ac:dyDescent="0.2">
      <c r="A52" s="4" t="s">
        <v>37</v>
      </c>
      <c r="B52" s="4">
        <v>13.25</v>
      </c>
      <c r="C52" s="4">
        <v>10</v>
      </c>
      <c r="D52" s="4">
        <v>2.1800000000000002</v>
      </c>
      <c r="E52" s="4" t="s">
        <v>51</v>
      </c>
      <c r="F52" s="4">
        <v>11299815</v>
      </c>
      <c r="G52" t="s">
        <v>62</v>
      </c>
      <c r="H52" s="6">
        <v>45813.852777777778</v>
      </c>
      <c r="I52" s="4">
        <v>29.18</v>
      </c>
      <c r="J52" t="s">
        <v>106</v>
      </c>
      <c r="K52">
        <v>60</v>
      </c>
      <c r="L52" s="2">
        <f>(K52-I52)*0.1</f>
        <v>3.0820000000000003</v>
      </c>
    </row>
    <row r="53" spans="1:12" ht="27.75" x14ac:dyDescent="0.2">
      <c r="A53" s="4" t="s">
        <v>45</v>
      </c>
      <c r="B53" s="4">
        <v>10.78</v>
      </c>
      <c r="C53" s="4">
        <v>10</v>
      </c>
      <c r="D53" s="4">
        <v>1.46</v>
      </c>
      <c r="E53" s="4" t="s">
        <v>50</v>
      </c>
      <c r="F53" s="4">
        <v>11264763</v>
      </c>
      <c r="G53" t="s">
        <v>62</v>
      </c>
      <c r="H53" s="6">
        <v>45811.947916666664</v>
      </c>
      <c r="I53" s="4">
        <v>19.54</v>
      </c>
      <c r="J53" t="s">
        <v>105</v>
      </c>
      <c r="K53">
        <v>77</v>
      </c>
      <c r="L53" s="2">
        <f>(K53-I53)*0.1</f>
        <v>5.7460000000000004</v>
      </c>
    </row>
    <row r="54" spans="1:12" x14ac:dyDescent="0.2">
      <c r="A54" s="5">
        <v>45800</v>
      </c>
      <c r="B54" s="4">
        <v>43.66</v>
      </c>
      <c r="C54" s="4">
        <v>9.92</v>
      </c>
      <c r="D54" s="4">
        <v>0</v>
      </c>
      <c r="E54" s="4" t="s">
        <v>19</v>
      </c>
      <c r="F54" s="4">
        <v>19104695</v>
      </c>
      <c r="G54" t="s">
        <v>61</v>
      </c>
      <c r="H54" s="5">
        <v>45798</v>
      </c>
      <c r="I54" s="4">
        <v>53.58</v>
      </c>
      <c r="J54" t="s">
        <v>104</v>
      </c>
      <c r="K54">
        <f>38+48</f>
        <v>86</v>
      </c>
      <c r="L54" s="2">
        <f>(K54-I54)*0.1</f>
        <v>3.2420000000000004</v>
      </c>
    </row>
    <row r="55" spans="1:12" ht="27.75" x14ac:dyDescent="0.2">
      <c r="A55" s="4" t="s">
        <v>37</v>
      </c>
      <c r="B55" s="4">
        <v>57.16</v>
      </c>
      <c r="C55" s="4">
        <v>7</v>
      </c>
      <c r="D55" s="4">
        <v>5.17</v>
      </c>
      <c r="E55" s="4" t="s">
        <v>49</v>
      </c>
      <c r="F55" s="4">
        <v>11082633</v>
      </c>
      <c r="G55" t="s">
        <v>62</v>
      </c>
      <c r="H55" s="6">
        <v>45797.92083333333</v>
      </c>
      <c r="I55" s="4">
        <v>69.33</v>
      </c>
      <c r="J55" t="s">
        <v>103</v>
      </c>
      <c r="K55">
        <v>135</v>
      </c>
      <c r="L55" s="2">
        <f>(K55-I55)*0.1</f>
        <v>6.5670000000000002</v>
      </c>
    </row>
    <row r="56" spans="1:12" x14ac:dyDescent="0.2">
      <c r="A56" s="5">
        <v>45798</v>
      </c>
      <c r="B56" s="4">
        <v>239.17</v>
      </c>
      <c r="C56" s="4">
        <v>105.5</v>
      </c>
      <c r="D56" s="4">
        <v>0</v>
      </c>
      <c r="E56" s="4" t="s">
        <v>20</v>
      </c>
      <c r="F56" s="4">
        <v>19081653</v>
      </c>
      <c r="G56" t="s">
        <v>61</v>
      </c>
      <c r="H56" s="5">
        <v>45796</v>
      </c>
      <c r="I56" s="4">
        <v>344.67</v>
      </c>
      <c r="L56" s="2"/>
    </row>
    <row r="57" spans="1:12" x14ac:dyDescent="0.2">
      <c r="A57" s="5">
        <v>45784</v>
      </c>
      <c r="B57" s="4">
        <v>13.12</v>
      </c>
      <c r="C57" s="4">
        <v>9.92</v>
      </c>
      <c r="D57" s="4">
        <v>0</v>
      </c>
      <c r="E57" s="4" t="s">
        <v>21</v>
      </c>
      <c r="F57" s="4">
        <v>18996514</v>
      </c>
      <c r="G57" t="s">
        <v>61</v>
      </c>
      <c r="H57" s="5">
        <v>45783</v>
      </c>
      <c r="I57" s="4">
        <v>23.04</v>
      </c>
      <c r="J57" t="s">
        <v>102</v>
      </c>
      <c r="K57">
        <v>40</v>
      </c>
      <c r="L57" s="2">
        <f>(K57-I57)*0.1</f>
        <v>1.6960000000000002</v>
      </c>
    </row>
    <row r="58" spans="1:12" x14ac:dyDescent="0.2">
      <c r="A58" s="5">
        <v>45779</v>
      </c>
      <c r="B58" s="4">
        <v>7.34</v>
      </c>
      <c r="C58" s="4">
        <v>9.92</v>
      </c>
      <c r="D58" s="4">
        <v>0</v>
      </c>
      <c r="E58" s="4" t="s">
        <v>22</v>
      </c>
      <c r="F58" s="4">
        <v>18950331</v>
      </c>
      <c r="G58" t="s">
        <v>61</v>
      </c>
      <c r="H58" s="5">
        <v>45777</v>
      </c>
      <c r="I58" s="4">
        <v>17.260000000000002</v>
      </c>
      <c r="J58" t="s">
        <v>101</v>
      </c>
      <c r="K58">
        <v>35</v>
      </c>
      <c r="L58" s="2">
        <f>(K58-I58)*0.1</f>
        <v>1.774</v>
      </c>
    </row>
    <row r="59" spans="1:12" x14ac:dyDescent="0.2">
      <c r="A59" t="s">
        <v>7</v>
      </c>
      <c r="B59" s="2">
        <v>15</v>
      </c>
      <c r="C59" s="2">
        <v>10</v>
      </c>
      <c r="D59" s="2">
        <v>0</v>
      </c>
      <c r="F59">
        <v>49193000144</v>
      </c>
      <c r="G59" t="s">
        <v>60</v>
      </c>
      <c r="H59" s="1">
        <v>45770.615115740744</v>
      </c>
      <c r="I59" s="2">
        <v>25</v>
      </c>
      <c r="J59" t="s">
        <v>100</v>
      </c>
      <c r="K59">
        <v>49</v>
      </c>
      <c r="L59" s="2">
        <f>(K59-I59)*0.1</f>
        <v>2.4000000000000004</v>
      </c>
    </row>
    <row r="60" spans="1:12" x14ac:dyDescent="0.2">
      <c r="A60" t="s">
        <v>7</v>
      </c>
      <c r="B60" s="2">
        <v>45</v>
      </c>
      <c r="C60" s="2">
        <v>10</v>
      </c>
      <c r="D60" s="2">
        <v>0</v>
      </c>
      <c r="F60">
        <v>49193000143</v>
      </c>
      <c r="G60" t="s">
        <v>60</v>
      </c>
      <c r="H60" s="1">
        <v>45758.734166666669</v>
      </c>
      <c r="I60" s="2">
        <v>55</v>
      </c>
      <c r="J60" t="s">
        <v>99</v>
      </c>
      <c r="K60">
        <v>110</v>
      </c>
      <c r="L60" s="2">
        <f>(K60-I60)*0.1</f>
        <v>5.5</v>
      </c>
    </row>
    <row r="61" spans="1:12" x14ac:dyDescent="0.2">
      <c r="A61" t="s">
        <v>7</v>
      </c>
      <c r="B61" s="2">
        <v>93.75</v>
      </c>
      <c r="C61" s="2">
        <v>10</v>
      </c>
      <c r="D61" s="2">
        <v>0</v>
      </c>
      <c r="F61">
        <v>49193000142</v>
      </c>
      <c r="G61" t="s">
        <v>60</v>
      </c>
      <c r="H61" s="1">
        <v>45751.772511574076</v>
      </c>
      <c r="I61" s="2">
        <v>103.75</v>
      </c>
      <c r="J61" t="s">
        <v>98</v>
      </c>
      <c r="K61">
        <v>125</v>
      </c>
      <c r="L61" s="2">
        <f>(K61-I61)*0.1</f>
        <v>2.125</v>
      </c>
    </row>
    <row r="62" spans="1:12" x14ac:dyDescent="0.2">
      <c r="A62" s="5">
        <v>45744</v>
      </c>
      <c r="B62" s="4">
        <v>14.5</v>
      </c>
      <c r="C62" s="4">
        <v>7.83</v>
      </c>
      <c r="D62" s="4">
        <v>0</v>
      </c>
      <c r="E62" s="4" t="s">
        <v>23</v>
      </c>
      <c r="F62" s="4">
        <v>18698511</v>
      </c>
      <c r="G62" t="s">
        <v>61</v>
      </c>
      <c r="H62" s="5">
        <v>45742</v>
      </c>
      <c r="I62" s="4">
        <v>22.33</v>
      </c>
      <c r="J62" t="s">
        <v>97</v>
      </c>
      <c r="K62">
        <v>38</v>
      </c>
      <c r="L62" s="2">
        <f>(K62-I62)*0.1</f>
        <v>1.5670000000000002</v>
      </c>
    </row>
    <row r="63" spans="1:12" x14ac:dyDescent="0.2">
      <c r="A63" s="5">
        <v>45734</v>
      </c>
      <c r="B63" s="4">
        <v>14.5</v>
      </c>
      <c r="C63" s="4">
        <v>7.83</v>
      </c>
      <c r="D63" s="4">
        <v>0</v>
      </c>
      <c r="E63" s="4" t="s">
        <v>24</v>
      </c>
      <c r="F63" s="4">
        <v>18616922</v>
      </c>
      <c r="G63" t="s">
        <v>61</v>
      </c>
      <c r="H63" s="5">
        <v>45730</v>
      </c>
      <c r="I63" s="4">
        <v>22.33</v>
      </c>
      <c r="J63" t="s">
        <v>96</v>
      </c>
      <c r="K63">
        <v>38</v>
      </c>
      <c r="L63" s="2">
        <f>(K63-I63)*0.1</f>
        <v>1.5670000000000002</v>
      </c>
    </row>
    <row r="64" spans="1:12" ht="27.75" x14ac:dyDescent="0.2">
      <c r="A64" s="4" t="s">
        <v>37</v>
      </c>
      <c r="B64" s="4">
        <v>25.25</v>
      </c>
      <c r="C64" s="4">
        <v>16.27</v>
      </c>
      <c r="D64" s="4">
        <v>3.35</v>
      </c>
      <c r="E64" s="4" t="s">
        <v>48</v>
      </c>
      <c r="F64" s="4">
        <v>10062192</v>
      </c>
      <c r="G64" t="s">
        <v>62</v>
      </c>
      <c r="H64" s="6">
        <v>45728.803472222222</v>
      </c>
      <c r="I64" s="4">
        <v>44.87</v>
      </c>
      <c r="L64" s="2"/>
    </row>
    <row r="65" spans="1:12" x14ac:dyDescent="0.2">
      <c r="A65" s="5">
        <v>45728</v>
      </c>
      <c r="B65" s="4">
        <v>15.37</v>
      </c>
      <c r="C65" s="4">
        <v>9.92</v>
      </c>
      <c r="D65" s="4">
        <v>0</v>
      </c>
      <c r="E65" s="4" t="s">
        <v>25</v>
      </c>
      <c r="F65" s="4">
        <v>18570858</v>
      </c>
      <c r="G65" t="s">
        <v>61</v>
      </c>
      <c r="H65" s="5">
        <v>45723</v>
      </c>
      <c r="I65" s="4">
        <v>25.29</v>
      </c>
      <c r="J65" t="s">
        <v>95</v>
      </c>
      <c r="K65">
        <v>50</v>
      </c>
      <c r="L65" s="2">
        <f>(K65-I65)*0.1</f>
        <v>2.4710000000000001</v>
      </c>
    </row>
    <row r="66" spans="1:12" x14ac:dyDescent="0.2">
      <c r="A66" t="s">
        <v>7</v>
      </c>
      <c r="B66" s="2">
        <v>9</v>
      </c>
      <c r="C66" s="2">
        <v>10</v>
      </c>
      <c r="D66" s="2">
        <v>0</v>
      </c>
      <c r="F66">
        <v>49193000141</v>
      </c>
      <c r="G66" t="s">
        <v>60</v>
      </c>
      <c r="H66" s="1">
        <v>45706.734039351853</v>
      </c>
      <c r="I66" s="2">
        <v>19</v>
      </c>
      <c r="J66" t="s">
        <v>94</v>
      </c>
      <c r="K66">
        <v>38</v>
      </c>
      <c r="L66" s="2">
        <f>(K66-I66)*0.1</f>
        <v>1.9000000000000001</v>
      </c>
    </row>
    <row r="67" spans="1:12" x14ac:dyDescent="0.2">
      <c r="A67" t="s">
        <v>7</v>
      </c>
      <c r="B67" s="2">
        <v>30</v>
      </c>
      <c r="C67" s="2">
        <v>20</v>
      </c>
      <c r="D67" s="2">
        <v>0</v>
      </c>
      <c r="F67">
        <v>49193000140</v>
      </c>
      <c r="G67" t="s">
        <v>60</v>
      </c>
      <c r="H67" s="1">
        <v>45692.666122685187</v>
      </c>
      <c r="I67" s="2">
        <v>50</v>
      </c>
      <c r="J67" t="s">
        <v>93</v>
      </c>
      <c r="K67">
        <v>100</v>
      </c>
      <c r="L67" s="2">
        <f>(K67-I67)*0.1</f>
        <v>5</v>
      </c>
    </row>
    <row r="68" spans="1:12" x14ac:dyDescent="0.2">
      <c r="A68" t="s">
        <v>7</v>
      </c>
      <c r="B68" s="2">
        <v>37.5</v>
      </c>
      <c r="C68" s="2">
        <v>10</v>
      </c>
      <c r="D68" s="2">
        <v>0</v>
      </c>
      <c r="F68">
        <v>49193000139</v>
      </c>
      <c r="G68" t="s">
        <v>60</v>
      </c>
      <c r="H68" s="1">
        <v>45684.74559027778</v>
      </c>
      <c r="I68" s="2">
        <v>47.5</v>
      </c>
      <c r="L68" s="2"/>
    </row>
    <row r="69" spans="1:12" x14ac:dyDescent="0.2">
      <c r="A69" t="s">
        <v>7</v>
      </c>
      <c r="B69" s="2">
        <v>18</v>
      </c>
      <c r="C69" s="2">
        <v>10</v>
      </c>
      <c r="D69" s="2">
        <v>0</v>
      </c>
      <c r="F69">
        <v>49193000138</v>
      </c>
      <c r="G69" t="s">
        <v>60</v>
      </c>
      <c r="H69" s="1">
        <v>45684.631863425922</v>
      </c>
      <c r="I69" s="2">
        <v>28</v>
      </c>
      <c r="J69" t="s">
        <v>92</v>
      </c>
      <c r="K69">
        <v>56</v>
      </c>
      <c r="L69" s="2">
        <f>(K69-I69)*0.1</f>
        <v>2.8000000000000003</v>
      </c>
    </row>
    <row r="70" spans="1:12" ht="27.75" x14ac:dyDescent="0.2">
      <c r="A70" s="4" t="s">
        <v>37</v>
      </c>
      <c r="B70" s="4">
        <v>243.99</v>
      </c>
      <c r="C70" s="4">
        <v>45.41</v>
      </c>
      <c r="D70" s="4">
        <v>24.25</v>
      </c>
      <c r="E70" s="4" t="s">
        <v>43</v>
      </c>
      <c r="F70" s="4">
        <v>9373926</v>
      </c>
      <c r="G70" t="s">
        <v>62</v>
      </c>
      <c r="H70" s="6">
        <v>45679.982638888891</v>
      </c>
      <c r="I70" s="4">
        <v>252.22</v>
      </c>
      <c r="J70" t="s">
        <v>91</v>
      </c>
      <c r="K70">
        <v>504</v>
      </c>
      <c r="L70" s="2">
        <f>(K70-I70)*0.1</f>
        <v>25.178000000000001</v>
      </c>
    </row>
    <row r="71" spans="1:12" ht="27.75" x14ac:dyDescent="0.2">
      <c r="A71" s="4" t="s">
        <v>45</v>
      </c>
      <c r="B71" s="4">
        <v>243.99</v>
      </c>
      <c r="C71" s="4">
        <v>45.41</v>
      </c>
      <c r="D71" s="4">
        <v>24.25</v>
      </c>
      <c r="E71" s="4" t="s">
        <v>44</v>
      </c>
      <c r="F71" s="4">
        <v>9373926</v>
      </c>
      <c r="G71" t="s">
        <v>62</v>
      </c>
      <c r="H71" s="6">
        <v>45679.982638888891</v>
      </c>
      <c r="I71" s="4">
        <v>28.9</v>
      </c>
      <c r="J71" t="s">
        <v>91</v>
      </c>
      <c r="K71">
        <v>58</v>
      </c>
      <c r="L71" s="2">
        <f>(K71-I71)*0.1</f>
        <v>2.91</v>
      </c>
    </row>
    <row r="72" spans="1:12" ht="27.75" x14ac:dyDescent="0.2">
      <c r="A72" s="4" t="s">
        <v>45</v>
      </c>
      <c r="B72" s="4">
        <v>243.99</v>
      </c>
      <c r="C72" s="4">
        <v>45.41</v>
      </c>
      <c r="D72" s="4">
        <v>24.25</v>
      </c>
      <c r="E72" s="4" t="s">
        <v>46</v>
      </c>
      <c r="F72" s="4">
        <v>9373926</v>
      </c>
      <c r="G72" t="s">
        <v>62</v>
      </c>
      <c r="H72" s="6">
        <v>45679.982638888891</v>
      </c>
      <c r="I72" s="4">
        <v>21.89</v>
      </c>
      <c r="J72" t="s">
        <v>91</v>
      </c>
      <c r="K72">
        <v>33</v>
      </c>
      <c r="L72" s="2">
        <f>(K72-I72)*0.1</f>
        <v>1.111</v>
      </c>
    </row>
    <row r="73" spans="1:12" ht="27.75" x14ac:dyDescent="0.2">
      <c r="A73" s="4" t="s">
        <v>45</v>
      </c>
      <c r="B73" s="4">
        <v>243.99</v>
      </c>
      <c r="C73" s="4">
        <v>45.41</v>
      </c>
      <c r="D73" s="4">
        <v>24.25</v>
      </c>
      <c r="E73" s="4" t="s">
        <v>47</v>
      </c>
      <c r="F73" s="4">
        <v>9373926</v>
      </c>
      <c r="G73" t="s">
        <v>62</v>
      </c>
      <c r="H73" s="6">
        <v>45679.982638888891</v>
      </c>
      <c r="I73" s="4">
        <v>21.89</v>
      </c>
      <c r="J73" t="s">
        <v>91</v>
      </c>
      <c r="K73">
        <v>33</v>
      </c>
      <c r="L73" s="2">
        <f>(K73-I73)*0.1</f>
        <v>1.111</v>
      </c>
    </row>
    <row r="74" spans="1:12" x14ac:dyDescent="0.2">
      <c r="A74" t="s">
        <v>7</v>
      </c>
      <c r="B74" s="2">
        <v>18</v>
      </c>
      <c r="C74" s="2">
        <v>10</v>
      </c>
      <c r="D74" s="2">
        <v>0</v>
      </c>
      <c r="F74">
        <v>49193000137</v>
      </c>
      <c r="G74" t="s">
        <v>60</v>
      </c>
      <c r="H74" s="1">
        <v>45678.743946759256</v>
      </c>
      <c r="I74" s="2">
        <v>28</v>
      </c>
      <c r="J74" t="s">
        <v>90</v>
      </c>
      <c r="K74">
        <v>76</v>
      </c>
      <c r="L74" s="2">
        <f>(K74-I74)*0.1</f>
        <v>4.8000000000000007</v>
      </c>
    </row>
    <row r="75" spans="1:12" x14ac:dyDescent="0.2">
      <c r="A75" s="5">
        <v>45678</v>
      </c>
      <c r="B75" s="4">
        <v>11.4</v>
      </c>
      <c r="C75" s="4">
        <v>11.96</v>
      </c>
      <c r="D75" s="4">
        <v>0</v>
      </c>
      <c r="E75" s="4" t="s">
        <v>26</v>
      </c>
      <c r="F75" s="4">
        <v>18266772</v>
      </c>
      <c r="G75" t="s">
        <v>61</v>
      </c>
      <c r="H75" s="5">
        <v>45677</v>
      </c>
      <c r="I75" s="4">
        <v>23.36</v>
      </c>
      <c r="L75" s="2">
        <f>(K75-I75)*0.1</f>
        <v>-2.3359999999999999</v>
      </c>
    </row>
    <row r="76" spans="1:12" x14ac:dyDescent="0.2">
      <c r="A76" s="5">
        <v>45678</v>
      </c>
      <c r="B76" s="4">
        <v>11.4</v>
      </c>
      <c r="C76" s="4">
        <v>11.96</v>
      </c>
      <c r="D76" s="4">
        <v>0</v>
      </c>
      <c r="E76" s="4" t="s">
        <v>26</v>
      </c>
      <c r="F76" s="4">
        <v>18266666</v>
      </c>
      <c r="G76" t="s">
        <v>61</v>
      </c>
      <c r="H76" s="5">
        <v>45677</v>
      </c>
      <c r="I76" s="4">
        <v>23.36</v>
      </c>
      <c r="J76" t="s">
        <v>89</v>
      </c>
      <c r="K76">
        <f>38*2</f>
        <v>76</v>
      </c>
      <c r="L76" s="2">
        <f>(K76-I76)*0.1</f>
        <v>5.2640000000000002</v>
      </c>
    </row>
    <row r="77" spans="1:12" x14ac:dyDescent="0.2">
      <c r="A77" s="5">
        <v>45673</v>
      </c>
      <c r="B77" s="4">
        <v>26.76</v>
      </c>
      <c r="C77" s="4">
        <v>10.31</v>
      </c>
      <c r="D77" s="4">
        <v>0</v>
      </c>
      <c r="E77" s="4" t="s">
        <v>27</v>
      </c>
      <c r="F77" s="4">
        <v>18224964</v>
      </c>
      <c r="G77" t="s">
        <v>61</v>
      </c>
      <c r="H77" s="5">
        <v>45670</v>
      </c>
      <c r="I77" s="4">
        <v>37.07</v>
      </c>
      <c r="J77" t="s">
        <v>88</v>
      </c>
      <c r="K77">
        <v>48</v>
      </c>
      <c r="L77" s="2">
        <f>(K77-I77)*0.1</f>
        <v>1.093</v>
      </c>
    </row>
    <row r="78" spans="1:12" x14ac:dyDescent="0.2">
      <c r="A78" t="s">
        <v>7</v>
      </c>
      <c r="B78" s="2">
        <v>9</v>
      </c>
      <c r="C78" s="2">
        <v>10</v>
      </c>
      <c r="D78" s="2">
        <v>0</v>
      </c>
      <c r="F78">
        <v>49193000136</v>
      </c>
      <c r="G78" t="s">
        <v>60</v>
      </c>
      <c r="H78" s="1">
        <v>45667.722430555557</v>
      </c>
      <c r="I78" s="2">
        <v>19</v>
      </c>
      <c r="J78" t="s">
        <v>87</v>
      </c>
      <c r="K78">
        <v>38</v>
      </c>
      <c r="L78" s="2">
        <f>(K78-I78)*0.1</f>
        <v>1.9000000000000001</v>
      </c>
    </row>
    <row r="79" spans="1:12" x14ac:dyDescent="0.2">
      <c r="A79" t="s">
        <v>7</v>
      </c>
      <c r="B79" s="2">
        <v>36</v>
      </c>
      <c r="C79" s="2">
        <v>10</v>
      </c>
      <c r="D79" s="2">
        <v>0</v>
      </c>
      <c r="F79">
        <v>49193000135</v>
      </c>
      <c r="G79" t="s">
        <v>60</v>
      </c>
      <c r="H79" s="1">
        <v>45666.739016203705</v>
      </c>
      <c r="I79" s="2">
        <v>46</v>
      </c>
      <c r="J79" t="s">
        <v>86</v>
      </c>
      <c r="K79">
        <v>184</v>
      </c>
      <c r="L79" s="2">
        <f>(K79-I79)*0.1</f>
        <v>13.8</v>
      </c>
    </row>
    <row r="80" spans="1:12" x14ac:dyDescent="0.2">
      <c r="A80" t="s">
        <v>7</v>
      </c>
      <c r="B80" s="2">
        <v>45</v>
      </c>
      <c r="C80" s="2">
        <v>10</v>
      </c>
      <c r="D80" s="2">
        <v>0</v>
      </c>
      <c r="F80">
        <v>49193000134</v>
      </c>
      <c r="G80" t="s">
        <v>60</v>
      </c>
      <c r="H80" s="1">
        <v>45665.683310185188</v>
      </c>
      <c r="I80" s="2">
        <v>55</v>
      </c>
      <c r="J80" t="s">
        <v>85</v>
      </c>
      <c r="K80">
        <f>55+67</f>
        <v>122</v>
      </c>
      <c r="L80" s="2">
        <f>(K80-I80)*0.1</f>
        <v>6.7</v>
      </c>
    </row>
    <row r="81" spans="1:12" x14ac:dyDescent="0.2">
      <c r="A81" s="5">
        <v>45667</v>
      </c>
      <c r="B81" s="4">
        <v>32.89</v>
      </c>
      <c r="C81" s="4">
        <v>15.28</v>
      </c>
      <c r="D81" s="4">
        <v>0</v>
      </c>
      <c r="E81" s="4" t="s">
        <v>28</v>
      </c>
      <c r="F81" s="4">
        <v>18197857</v>
      </c>
      <c r="G81" t="s">
        <v>61</v>
      </c>
      <c r="H81" s="5">
        <v>45665</v>
      </c>
      <c r="I81" s="4">
        <v>48.17</v>
      </c>
      <c r="L81" s="2"/>
    </row>
    <row r="82" spans="1:12" x14ac:dyDescent="0.2">
      <c r="A82" s="4" t="s">
        <v>37</v>
      </c>
      <c r="B82" s="4">
        <v>129.99</v>
      </c>
      <c r="C82" s="4">
        <v>30.25</v>
      </c>
      <c r="D82" s="4">
        <v>12.92</v>
      </c>
      <c r="E82" s="4" t="s">
        <v>42</v>
      </c>
      <c r="F82" s="4">
        <v>9107712</v>
      </c>
      <c r="G82" t="s">
        <v>62</v>
      </c>
      <c r="H82" s="6">
        <v>45657.863194444442</v>
      </c>
      <c r="I82" s="4">
        <v>156.16</v>
      </c>
      <c r="L82" s="2"/>
    </row>
    <row r="83" spans="1:12" x14ac:dyDescent="0.2">
      <c r="A83" t="s">
        <v>7</v>
      </c>
      <c r="B83" s="2">
        <v>77</v>
      </c>
      <c r="C83" s="2">
        <v>10</v>
      </c>
      <c r="D83" s="2">
        <v>0</v>
      </c>
      <c r="F83">
        <v>49193000133</v>
      </c>
      <c r="G83" t="s">
        <v>60</v>
      </c>
      <c r="H83" s="1">
        <v>45656.641180555554</v>
      </c>
      <c r="I83" s="2">
        <v>87</v>
      </c>
      <c r="J83" t="s">
        <v>84</v>
      </c>
      <c r="K83">
        <f>44*3</f>
        <v>132</v>
      </c>
      <c r="L83" s="2">
        <f>(K83-I83)*0.1</f>
        <v>4.5</v>
      </c>
    </row>
    <row r="84" spans="1:12" x14ac:dyDescent="0.2">
      <c r="A84" t="s">
        <v>7</v>
      </c>
      <c r="B84" s="2">
        <v>14</v>
      </c>
      <c r="C84" s="2">
        <v>10</v>
      </c>
      <c r="D84" s="2">
        <v>0</v>
      </c>
      <c r="F84">
        <v>49193000132</v>
      </c>
      <c r="G84" t="s">
        <v>60</v>
      </c>
      <c r="H84" s="1">
        <v>45644.745972222219</v>
      </c>
      <c r="I84" s="2">
        <v>24</v>
      </c>
      <c r="J84" t="s">
        <v>83</v>
      </c>
      <c r="K84">
        <v>108</v>
      </c>
      <c r="L84" s="2">
        <f>(K84-I84)*0.1</f>
        <v>8.4</v>
      </c>
    </row>
    <row r="85" spans="1:12" x14ac:dyDescent="0.2">
      <c r="A85" t="s">
        <v>7</v>
      </c>
      <c r="B85" s="2">
        <v>6.58</v>
      </c>
      <c r="C85" s="2">
        <v>10</v>
      </c>
      <c r="D85" s="2">
        <v>0</v>
      </c>
      <c r="F85">
        <v>49193000131</v>
      </c>
      <c r="G85" t="s">
        <v>60</v>
      </c>
      <c r="H85" s="1">
        <v>45639.736701388887</v>
      </c>
      <c r="I85" s="2">
        <v>16.579999999999998</v>
      </c>
      <c r="J85" t="s">
        <v>82</v>
      </c>
      <c r="K85">
        <v>33</v>
      </c>
      <c r="L85" s="2">
        <f>(K85-I85)*0.1</f>
        <v>1.6420000000000003</v>
      </c>
    </row>
    <row r="86" spans="1:12" x14ac:dyDescent="0.2">
      <c r="A86" t="s">
        <v>7</v>
      </c>
      <c r="B86" s="2">
        <v>62.5</v>
      </c>
      <c r="C86" s="2">
        <v>10</v>
      </c>
      <c r="D86" s="2">
        <v>0</v>
      </c>
      <c r="F86">
        <v>49193000130</v>
      </c>
      <c r="G86" t="s">
        <v>60</v>
      </c>
      <c r="H86" s="1">
        <v>45631.75304398148</v>
      </c>
      <c r="I86" s="2">
        <v>72.5</v>
      </c>
      <c r="J86" t="s">
        <v>81</v>
      </c>
      <c r="K86">
        <f>72.5*2</f>
        <v>145</v>
      </c>
      <c r="L86" s="2">
        <f>(K86-I86)*0.1</f>
        <v>7.25</v>
      </c>
    </row>
    <row r="87" spans="1:12" x14ac:dyDescent="0.2">
      <c r="A87" s="5">
        <v>45614</v>
      </c>
      <c r="B87" s="4">
        <v>57</v>
      </c>
      <c r="C87" s="4">
        <v>11.59</v>
      </c>
      <c r="D87" s="4">
        <v>0</v>
      </c>
      <c r="E87" s="4" t="s">
        <v>29</v>
      </c>
      <c r="F87" s="4">
        <v>17792192</v>
      </c>
      <c r="G87" t="s">
        <v>61</v>
      </c>
      <c r="H87" s="5">
        <v>45610</v>
      </c>
      <c r="I87" s="4">
        <v>68.59</v>
      </c>
      <c r="J87" t="s">
        <v>80</v>
      </c>
      <c r="K87">
        <v>190</v>
      </c>
      <c r="L87" s="2">
        <f>(K87-I87)*0.1</f>
        <v>12.141</v>
      </c>
    </row>
    <row r="88" spans="1:12" x14ac:dyDescent="0.2">
      <c r="A88" t="s">
        <v>7</v>
      </c>
      <c r="B88" s="2">
        <v>9.9600000000000009</v>
      </c>
      <c r="C88" s="2">
        <v>10</v>
      </c>
      <c r="D88" s="2">
        <v>0</v>
      </c>
      <c r="F88">
        <v>49193000129</v>
      </c>
      <c r="G88" t="s">
        <v>60</v>
      </c>
      <c r="H88" s="1">
        <v>45606.913078703707</v>
      </c>
      <c r="I88" s="2">
        <v>19.96</v>
      </c>
      <c r="J88" t="s">
        <v>79</v>
      </c>
      <c r="K88">
        <v>-19.96</v>
      </c>
      <c r="L88" s="2"/>
    </row>
    <row r="89" spans="1:12" x14ac:dyDescent="0.2">
      <c r="A89" s="5">
        <v>45609</v>
      </c>
      <c r="B89" s="4">
        <v>676.64</v>
      </c>
      <c r="C89" s="4">
        <v>0</v>
      </c>
      <c r="D89" s="4">
        <v>0</v>
      </c>
      <c r="E89" s="4" t="s">
        <v>30</v>
      </c>
      <c r="F89" s="4">
        <v>17747945</v>
      </c>
      <c r="G89" t="s">
        <v>61</v>
      </c>
      <c r="H89" s="5">
        <v>45604</v>
      </c>
      <c r="I89" s="4">
        <v>676.64</v>
      </c>
      <c r="J89" t="s">
        <v>73</v>
      </c>
      <c r="K89">
        <v>1120</v>
      </c>
      <c r="L89" s="2">
        <f>(K89-I89)*0.1</f>
        <v>44.336000000000006</v>
      </c>
    </row>
    <row r="90" spans="1:12" x14ac:dyDescent="0.2">
      <c r="A90" t="s">
        <v>7</v>
      </c>
      <c r="B90" s="2">
        <v>70.22</v>
      </c>
      <c r="C90" s="2">
        <v>10</v>
      </c>
      <c r="D90" s="2">
        <v>0</v>
      </c>
      <c r="F90">
        <v>49193000128</v>
      </c>
      <c r="G90" t="s">
        <v>60</v>
      </c>
      <c r="H90" s="1">
        <v>45603.730752314812</v>
      </c>
      <c r="I90" s="2">
        <v>80.22</v>
      </c>
      <c r="J90" t="s">
        <v>78</v>
      </c>
      <c r="K90">
        <v>90</v>
      </c>
      <c r="L90" s="2">
        <f>(K90-I90)*0.1</f>
        <v>0.9780000000000002</v>
      </c>
    </row>
    <row r="91" spans="1:12" x14ac:dyDescent="0.2">
      <c r="A91" s="5">
        <v>45600</v>
      </c>
      <c r="B91" s="4">
        <v>13.09</v>
      </c>
      <c r="C91" s="4">
        <v>9.61</v>
      </c>
      <c r="D91" s="4">
        <v>0</v>
      </c>
      <c r="E91" s="4" t="s">
        <v>31</v>
      </c>
      <c r="F91" s="4">
        <v>17693457</v>
      </c>
      <c r="G91" t="s">
        <v>61</v>
      </c>
      <c r="H91" s="5">
        <v>45596</v>
      </c>
      <c r="I91" s="4">
        <v>22.7</v>
      </c>
      <c r="J91" t="s">
        <v>77</v>
      </c>
      <c r="K91">
        <v>38</v>
      </c>
      <c r="L91" s="2">
        <f>(K91-I91)*0.1</f>
        <v>1.5300000000000002</v>
      </c>
    </row>
    <row r="92" spans="1:12" x14ac:dyDescent="0.2">
      <c r="A92" s="5">
        <v>45595</v>
      </c>
      <c r="B92" s="4">
        <v>17.37</v>
      </c>
      <c r="C92" s="4">
        <v>9.61</v>
      </c>
      <c r="D92" s="4">
        <v>0</v>
      </c>
      <c r="E92" s="4" t="s">
        <v>32</v>
      </c>
      <c r="F92" s="4">
        <v>17677027</v>
      </c>
      <c r="G92" t="s">
        <v>61</v>
      </c>
      <c r="H92" s="5">
        <v>45594</v>
      </c>
      <c r="I92" s="4">
        <v>26.98</v>
      </c>
      <c r="J92" t="s">
        <v>76</v>
      </c>
      <c r="K92">
        <v>38</v>
      </c>
      <c r="L92" s="2">
        <f>(K92-I92)*0.1</f>
        <v>1.1020000000000001</v>
      </c>
    </row>
    <row r="93" spans="1:12" ht="27.75" x14ac:dyDescent="0.2">
      <c r="A93" s="4" t="s">
        <v>37</v>
      </c>
      <c r="B93" s="4">
        <v>36.36</v>
      </c>
      <c r="C93" s="4">
        <v>16.13</v>
      </c>
      <c r="D93" s="4">
        <v>4.2300000000000004</v>
      </c>
      <c r="E93" s="4" t="s">
        <v>41</v>
      </c>
      <c r="F93" s="4">
        <v>8364043</v>
      </c>
      <c r="G93" t="s">
        <v>62</v>
      </c>
      <c r="H93" s="6">
        <v>45590.915972222225</v>
      </c>
      <c r="I93" s="4">
        <v>56.72</v>
      </c>
      <c r="J93" t="s">
        <v>75</v>
      </c>
      <c r="K93">
        <v>114</v>
      </c>
      <c r="L93" s="2">
        <f>(K93-I93)*0.1</f>
        <v>5.7280000000000006</v>
      </c>
    </row>
    <row r="94" spans="1:12" x14ac:dyDescent="0.2">
      <c r="A94" t="s">
        <v>7</v>
      </c>
      <c r="B94" s="2">
        <v>12</v>
      </c>
      <c r="C94" s="2">
        <v>10</v>
      </c>
      <c r="D94" s="2">
        <v>0</v>
      </c>
      <c r="F94">
        <v>49193000127</v>
      </c>
      <c r="G94" t="s">
        <v>60</v>
      </c>
      <c r="H94" s="1">
        <v>45579.697615740741</v>
      </c>
      <c r="I94" s="2">
        <v>22</v>
      </c>
      <c r="J94" t="s">
        <v>74</v>
      </c>
      <c r="K94">
        <v>54</v>
      </c>
      <c r="L94" s="2">
        <f>(K94-I94)*0.1</f>
        <v>3.2</v>
      </c>
    </row>
    <row r="95" spans="1:12" x14ac:dyDescent="0.2">
      <c r="A95" s="5">
        <v>45588</v>
      </c>
      <c r="B95" s="4">
        <v>778.2</v>
      </c>
      <c r="C95" s="4">
        <v>0</v>
      </c>
      <c r="D95" s="4">
        <v>0</v>
      </c>
      <c r="E95" s="4" t="s">
        <v>30</v>
      </c>
      <c r="F95" s="4">
        <v>17580557</v>
      </c>
      <c r="G95" t="s">
        <v>61</v>
      </c>
      <c r="H95" s="5">
        <v>45579</v>
      </c>
      <c r="I95" s="4">
        <v>778.2</v>
      </c>
      <c r="J95" t="s">
        <v>73</v>
      </c>
      <c r="K95">
        <v>0</v>
      </c>
      <c r="L95" s="2">
        <f>(K95-I95)*0.1</f>
        <v>-77.820000000000007</v>
      </c>
    </row>
    <row r="96" spans="1:12" x14ac:dyDescent="0.2">
      <c r="A96" t="s">
        <v>7</v>
      </c>
      <c r="B96" s="2">
        <v>49.33</v>
      </c>
      <c r="C96" s="2">
        <v>10</v>
      </c>
      <c r="D96" s="2">
        <v>0</v>
      </c>
      <c r="F96">
        <v>49193000126</v>
      </c>
      <c r="G96" t="s">
        <v>60</v>
      </c>
      <c r="H96" s="1">
        <v>45575.754988425928</v>
      </c>
      <c r="I96" s="2">
        <v>59.33</v>
      </c>
      <c r="J96" t="s">
        <v>72</v>
      </c>
      <c r="K96">
        <v>95</v>
      </c>
      <c r="L96" s="2">
        <f>(K96-I96)*0.1</f>
        <v>3.5670000000000002</v>
      </c>
    </row>
    <row r="97" spans="1:12" x14ac:dyDescent="0.2">
      <c r="A97" s="5">
        <v>45574</v>
      </c>
      <c r="B97" s="4">
        <v>62.53</v>
      </c>
      <c r="C97" s="4">
        <v>11.59</v>
      </c>
      <c r="D97" s="4">
        <v>0</v>
      </c>
      <c r="E97" s="4" t="s">
        <v>33</v>
      </c>
      <c r="F97" s="4">
        <v>17551962</v>
      </c>
      <c r="G97" t="s">
        <v>61</v>
      </c>
      <c r="H97" s="5">
        <v>45573</v>
      </c>
      <c r="I97" s="4">
        <v>74.12</v>
      </c>
      <c r="J97" t="s">
        <v>71</v>
      </c>
      <c r="K97">
        <v>190</v>
      </c>
      <c r="L97" s="2">
        <f>(K97-I97)*0.1</f>
        <v>11.588000000000001</v>
      </c>
    </row>
    <row r="98" spans="1:12" ht="27.75" x14ac:dyDescent="0.2">
      <c r="A98" s="4" t="s">
        <v>37</v>
      </c>
      <c r="B98" s="4">
        <v>12.12</v>
      </c>
      <c r="C98" s="4">
        <v>16.100000000000001</v>
      </c>
      <c r="D98" s="4">
        <v>2.2799999999999998</v>
      </c>
      <c r="E98" s="4" t="s">
        <v>40</v>
      </c>
      <c r="F98" s="4">
        <v>8063975</v>
      </c>
      <c r="G98" t="s">
        <v>62</v>
      </c>
      <c r="H98" s="6">
        <v>45569.890972222223</v>
      </c>
      <c r="I98" s="4">
        <v>30.5</v>
      </c>
      <c r="J98" t="s">
        <v>70</v>
      </c>
      <c r="K98">
        <v>60</v>
      </c>
      <c r="L98" s="2">
        <f>(K98-I98)*0.1</f>
        <v>2.95</v>
      </c>
    </row>
    <row r="99" spans="1:12" x14ac:dyDescent="0.2">
      <c r="A99" s="5">
        <v>45586</v>
      </c>
      <c r="B99" s="4">
        <v>499.57</v>
      </c>
      <c r="C99" s="4">
        <v>30.84</v>
      </c>
      <c r="D99" s="4">
        <v>0</v>
      </c>
      <c r="E99" s="4" t="s">
        <v>34</v>
      </c>
      <c r="F99" s="4">
        <v>17520061</v>
      </c>
      <c r="G99" t="s">
        <v>61</v>
      </c>
      <c r="H99" s="5">
        <v>45568</v>
      </c>
      <c r="I99" s="4">
        <v>530.41</v>
      </c>
      <c r="J99" t="s">
        <v>69</v>
      </c>
      <c r="K99">
        <v>825</v>
      </c>
      <c r="L99" s="2">
        <f>(K99-I99)*0.1</f>
        <v>29.459000000000003</v>
      </c>
    </row>
    <row r="100" spans="1:12" x14ac:dyDescent="0.2">
      <c r="A100" t="s">
        <v>7</v>
      </c>
      <c r="B100" s="2">
        <v>28</v>
      </c>
      <c r="C100" s="2">
        <v>10</v>
      </c>
      <c r="D100" s="2">
        <v>0</v>
      </c>
      <c r="F100">
        <v>49193000125</v>
      </c>
      <c r="G100" t="s">
        <v>60</v>
      </c>
      <c r="H100" s="1">
        <v>45566.749189814815</v>
      </c>
      <c r="I100" s="2">
        <v>38</v>
      </c>
      <c r="J100" t="s">
        <v>68</v>
      </c>
      <c r="K100">
        <f>54*2</f>
        <v>108</v>
      </c>
      <c r="L100" s="2">
        <f>(K100-I100)*0.1</f>
        <v>7</v>
      </c>
    </row>
    <row r="101" spans="1:12" x14ac:dyDescent="0.2">
      <c r="A101" s="5">
        <v>45562</v>
      </c>
      <c r="B101" s="4">
        <v>13.09</v>
      </c>
      <c r="C101" s="4">
        <v>9.61</v>
      </c>
      <c r="D101" s="4">
        <v>0</v>
      </c>
      <c r="E101" s="4" t="s">
        <v>35</v>
      </c>
      <c r="F101" s="4">
        <v>17481495</v>
      </c>
      <c r="G101" t="s">
        <v>61</v>
      </c>
      <c r="H101" s="5">
        <v>45561</v>
      </c>
      <c r="I101" s="4">
        <v>22.7</v>
      </c>
      <c r="J101" t="s">
        <v>67</v>
      </c>
      <c r="K101">
        <v>38</v>
      </c>
      <c r="L101" s="2">
        <f>(K101-I101)*0.1</f>
        <v>1.5300000000000002</v>
      </c>
    </row>
    <row r="102" spans="1:12" ht="27.75" x14ac:dyDescent="0.2">
      <c r="A102" s="4" t="s">
        <v>37</v>
      </c>
      <c r="B102" s="4">
        <v>272.52999999999997</v>
      </c>
      <c r="C102" s="4">
        <v>31.38</v>
      </c>
      <c r="D102" s="4">
        <v>24.5</v>
      </c>
      <c r="E102" s="4" t="s">
        <v>38</v>
      </c>
      <c r="F102" s="4">
        <v>7902650</v>
      </c>
      <c r="G102" t="s">
        <v>62</v>
      </c>
      <c r="H102" s="6">
        <v>45559.896527777775</v>
      </c>
      <c r="I102" s="4">
        <v>328.41</v>
      </c>
      <c r="J102" t="s">
        <v>65</v>
      </c>
      <c r="L102" s="2"/>
    </row>
    <row r="103" spans="1:12" ht="27.75" x14ac:dyDescent="0.2">
      <c r="A103" s="4" t="s">
        <v>37</v>
      </c>
      <c r="B103" s="4">
        <v>272.52999999999997</v>
      </c>
      <c r="C103" s="4">
        <v>31.38</v>
      </c>
      <c r="D103" s="4">
        <v>24.5</v>
      </c>
      <c r="E103" s="4" t="s">
        <v>39</v>
      </c>
      <c r="F103" s="4">
        <v>7902650</v>
      </c>
      <c r="G103" t="s">
        <v>62</v>
      </c>
      <c r="H103" s="6">
        <v>45559.896527777775</v>
      </c>
      <c r="I103" s="4">
        <v>328.41</v>
      </c>
      <c r="J103" t="s">
        <v>64</v>
      </c>
      <c r="K103">
        <f>327+504</f>
        <v>831</v>
      </c>
      <c r="L103" s="2">
        <f>(K103-I103)*0.1</f>
        <v>50.259</v>
      </c>
    </row>
    <row r="104" spans="1:12" x14ac:dyDescent="0.2">
      <c r="A104" t="s">
        <v>7</v>
      </c>
      <c r="B104" s="2">
        <v>127.5</v>
      </c>
      <c r="C104" s="2">
        <v>10</v>
      </c>
      <c r="D104" s="2">
        <v>0</v>
      </c>
      <c r="F104">
        <v>49193000124</v>
      </c>
      <c r="G104" t="s">
        <v>60</v>
      </c>
      <c r="H104" s="1">
        <v>45559.728402777779</v>
      </c>
      <c r="I104" s="2">
        <v>137.5</v>
      </c>
      <c r="J104" t="s">
        <v>66</v>
      </c>
      <c r="K104">
        <v>200</v>
      </c>
      <c r="L104" s="2">
        <f>(K104-I104)*0.1</f>
        <v>6.25</v>
      </c>
    </row>
    <row r="105" spans="1:12" ht="27.75" x14ac:dyDescent="0.2">
      <c r="A105" s="4" t="s">
        <v>37</v>
      </c>
      <c r="B105" s="4">
        <v>52.86</v>
      </c>
      <c r="C105" s="4">
        <v>7</v>
      </c>
      <c r="D105" s="4">
        <v>4.83</v>
      </c>
      <c r="E105" s="4" t="s">
        <v>36</v>
      </c>
      <c r="F105" s="4">
        <v>7851214</v>
      </c>
      <c r="G105" t="s">
        <v>62</v>
      </c>
      <c r="H105" s="6">
        <v>45555.756249999999</v>
      </c>
      <c r="I105" s="4">
        <v>64.69</v>
      </c>
      <c r="J105" t="s">
        <v>63</v>
      </c>
      <c r="K105">
        <v>130</v>
      </c>
      <c r="L105" s="2">
        <f>(K105-I105)*0.1</f>
        <v>6.5310000000000006</v>
      </c>
    </row>
    <row r="106" spans="1:12" x14ac:dyDescent="0.2">
      <c r="A106" t="s">
        <v>7</v>
      </c>
      <c r="B106" s="2">
        <v>75</v>
      </c>
      <c r="C106" s="2">
        <v>10</v>
      </c>
      <c r="D106" s="2">
        <v>0</v>
      </c>
      <c r="F106">
        <v>49193000123</v>
      </c>
      <c r="G106" t="s">
        <v>60</v>
      </c>
      <c r="H106" s="1">
        <v>45551.738749999997</v>
      </c>
      <c r="I106" s="2">
        <v>85</v>
      </c>
      <c r="J106" t="s">
        <v>13</v>
      </c>
      <c r="K106">
        <v>140</v>
      </c>
      <c r="L106" s="2">
        <f>(K106-I106)*0.1</f>
        <v>5.5</v>
      </c>
    </row>
    <row r="107" spans="1:12" x14ac:dyDescent="0.2">
      <c r="A107" t="s">
        <v>7</v>
      </c>
      <c r="B107" s="2">
        <v>42</v>
      </c>
      <c r="C107" s="2">
        <v>10</v>
      </c>
      <c r="D107" s="2">
        <v>0</v>
      </c>
      <c r="F107">
        <v>49193000122</v>
      </c>
      <c r="G107" t="s">
        <v>60</v>
      </c>
      <c r="H107" s="1">
        <v>45547.631099537037</v>
      </c>
      <c r="I107" s="2">
        <v>52</v>
      </c>
      <c r="J107" t="s">
        <v>12</v>
      </c>
      <c r="L107" s="2">
        <f>(K107-I107)*0.1</f>
        <v>-5.2</v>
      </c>
    </row>
    <row r="108" spans="1:12" ht="27.75" x14ac:dyDescent="0.2">
      <c r="A108" t="s">
        <v>7</v>
      </c>
      <c r="B108" s="2">
        <v>105</v>
      </c>
      <c r="C108" s="2">
        <v>20</v>
      </c>
      <c r="D108" s="2">
        <v>0</v>
      </c>
      <c r="F108">
        <v>49193000121</v>
      </c>
      <c r="G108" t="s">
        <v>60</v>
      </c>
      <c r="H108" s="1">
        <v>45545.5940162037</v>
      </c>
      <c r="I108" s="2">
        <v>125</v>
      </c>
      <c r="J108" s="3" t="s">
        <v>11</v>
      </c>
      <c r="K108">
        <f>216+132+186</f>
        <v>534</v>
      </c>
      <c r="L108" s="2">
        <f>(K108-I108)*0.1</f>
        <v>40.900000000000006</v>
      </c>
    </row>
  </sheetData>
  <sortState xmlns:xlrd2="http://schemas.microsoft.com/office/spreadsheetml/2017/richdata2" ref="A2:K108">
    <sortCondition descending="1" ref="H3:H108"/>
  </sortState>
  <phoneticPr fontId="19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Carreon</dc:creator>
  <cp:lastModifiedBy>X</cp:lastModifiedBy>
  <dcterms:created xsi:type="dcterms:W3CDTF">2025-11-30T06:19:33Z</dcterms:created>
  <dcterms:modified xsi:type="dcterms:W3CDTF">2025-11-30T06:19:33Z</dcterms:modified>
</cp:coreProperties>
</file>